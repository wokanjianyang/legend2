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<sst xmlns="http://schemas.openxmlformats.org/spreadsheetml/2006/main" count="232" uniqueCount="125">
  <si>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</si>
  <si>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</si>
  <si>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</si>
  <si>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</si>
  <si>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</si>
  <si>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</si>
  <si>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</si>
  <si>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</si>
  <si>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</si>
  <si>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</si>
  <si>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</si>
  <si>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</si>
  <si>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</si>
  <si>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</si>
  <si>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</si>
  <si>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</si>
  <si>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</si>
  <si>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</si>
  <si>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</si>
  <si>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</si>
  <si>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</si>
  <si>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</si>
  <si>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</si>
  <si>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</si>
  <si>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</si>
  <si>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</si>
  <si>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</si>
  <si>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</si>
  <si>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</si>
  <si>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</si>
  <si>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</si>
  <si>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</si>
  <si>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</si>
  <si>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</si>
  <si>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</si>
  <si>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</si>
  <si>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</si>
  <si>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</si>
  <si>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</si>
  <si>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</si>
  <si>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</si>
  <si>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</si>
  <si>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</si>
  <si>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</si>
  <si>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</si>
  <si>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</si>
  <si>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</si>
  <si>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</si>
  <si>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</si>
  <si>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</si>
  <si>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</si>
  <si>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</si>
  <si>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</si>
  <si>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</si>
  <si>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</si>
  <si>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</si>
  <si>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</si>
  <si>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</si>
  <si>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</si>
  <si>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</si>
  <si>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</si>
  <si>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</si>
  <si>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</si>
  <si>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</si>
  <si>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</si>
  <si>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</si>
  <si>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</si>
  <si>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</si>
  <si>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</si>
  <si>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</si>
  <si>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</si>
  <si>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</si>
  <si>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</si>
  <si>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</si>
  <si>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</si>
  <si>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</si>
  <si>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</si>
  <si>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</si>
  <si>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</si>
  <si>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精炼1</t>
  </si>
  <si>
    <t>总精炼达到{0}级</t>
  </si>
  <si>
    <t>精炼2</t>
  </si>
  <si>
    <t>精炼3</t>
  </si>
  <si>
    <t>精炼4</t>
  </si>
  <si>
    <t>精炼5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</si>
  <si>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</si>
  <si>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</si>
  <si>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</si>
  <si>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</si>
  <si>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</si>
  <si>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</si>
  <si>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</si>
  <si>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</si>
  <si>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</si>
  <si>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</si>
  <si>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</si>
  <si>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</si>
  <si>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</si>
  <si>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</si>
  <si>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</si>
  <si>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</si>
  <si>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</si>
  <si>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</si>
  <si>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</si>
  <si>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</si>
  <si>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</si>
  <si>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</si>
  <si>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</si>
  <si>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</si>
  <si>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</si>
  <si>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</si>
  <si>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</si>
  <si>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</si>
  <si>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</si>
  <si>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</si>
  <si>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</si>
  <si>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</si>
  <si>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</si>
  <si>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</si>
  <si>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</si>
  <si>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攀登者1</t>
  </si>
  <si>
    <t>无尽挑战通过{0}层</t>
  </si>
  <si>
    <t>攀登者2</t>
  </si>
  <si>
    <t>攀登者3</t>
  </si>
  <si>
    <t>攀登者4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</si>
</sst>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2" fillId="0" borderId="0" xfId="0" applyFont="1"/>
    <xf numFmtId="0" fontId="3" fillId="4" borderId="0" xfId="0" applyFont="1" applyFill="1" applyAlignment="1">
      <alignment horizont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109"/>
  <sheetViews>
    <sheetView tabSelected="1" topLeftCell="A64" workbookViewId="0">
      <selection activeCell="G82" sqref="G82:H91"/>
    </sheetView>
  </sheetViews>
  <sheetFormatPr defaultColWidth="9" defaultRowHeight="16" customHeight="1"/>
  <cols>
    <col min="1" max="3" width="9" style="6"/>
    <col min="4" max="4" width="12.25" style="6" customWidth="1"/>
    <col min="5" max="5" width="11.875" style="6" customWidth="1"/>
    <col min="6" max="7" width="10.75" style="6" customWidth="1"/>
    <col min="8" max="8" width="10.875" style="6" customWidth="1"/>
    <col min="9" max="9" width="13" style="6" customWidth="1"/>
    <col min="10" max="10" width="21.625" style="6" customWidth="1"/>
    <col min="11" max="11" width="14.25" style="6" customWidth="1"/>
    <col min="12" max="16384" width="9" style="6"/>
  </cols>
  <sheetData>
    <row r="2" customHeight="1" spans="3:11">
      <c r="K2" s="6" t="s">
        <v>0</v>
      </c>
    </row>
    <row r="3" customHeight="1" spans="3:11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/>
    </row>
    <row r="4" customHeight="1" spans="3:11">
      <c r="C4" s="7" t="s">
        <v>9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  <c r="K4" s="7"/>
    </row>
    <row r="5" customHeight="1" spans="3:11">
      <c r="C5" s="7" t="s">
        <v>10</v>
      </c>
      <c r="D5" s="7" t="s">
        <v>11</v>
      </c>
      <c r="E5" s="7" t="s">
        <v>10</v>
      </c>
      <c r="F5" s="7" t="s">
        <v>12</v>
      </c>
      <c r="G5" s="7" t="s">
        <v>10</v>
      </c>
      <c r="H5" s="7" t="s">
        <v>10</v>
      </c>
      <c r="I5" s="7" t="s">
        <v>10</v>
      </c>
      <c r="J5" s="7" t="s">
        <v>11</v>
      </c>
      <c r="K5" s="7"/>
    </row>
    <row r="6" customHeight="1" spans="3:11">
      <c r="C6" s="6">
        <v>1001</v>
      </c>
      <c r="D6" s="6" t="s">
        <v>13</v>
      </c>
      <c r="E6" s="6">
        <v>1</v>
      </c>
      <c r="F6" s="6">
        <f t="shared" ref="F6:F69" si="0">(C6-1000)*24</f>
        <v>24</v>
      </c>
      <c r="G6" s="6">
        <v>1</v>
      </c>
      <c r="H6" s="6">
        <v>1</v>
      </c>
      <c r="I6" s="6">
        <v>5</v>
      </c>
      <c r="J6" s="6" t="s">
        <v>14</v>
      </c>
      <c r="K6" s="6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6">
        <v>1</v>
      </c>
      <c r="H7" s="6">
        <v>1</v>
      </c>
      <c r="I7" s="1">
        <v>1</v>
      </c>
      <c r="J7" s="1" t="s">
        <v>14</v>
      </c>
      <c r="K7" s="1" t="s">
        <v>17</v>
      </c>
    </row>
    <row r="8" customHeight="1" spans="3:11">
      <c r="C8" s="6">
        <v>1003</v>
      </c>
      <c r="D8" s="6" t="s">
        <v>18</v>
      </c>
      <c r="E8" s="6">
        <v>1</v>
      </c>
      <c r="F8" s="6">
        <f t="shared" si="0"/>
        <v>72</v>
      </c>
      <c r="G8" s="6">
        <v>1</v>
      </c>
      <c r="H8" s="6">
        <v>1</v>
      </c>
      <c r="I8" s="6">
        <v>5</v>
      </c>
      <c r="J8" s="6" t="s">
        <v>14</v>
      </c>
      <c r="K8" s="6" t="s">
        <v>19</v>
      </c>
    </row>
    <row r="9" customHeight="1" spans="3:11">
      <c r="C9" s="6">
        <v>1004</v>
      </c>
      <c r="D9" s="6" t="s">
        <v>20</v>
      </c>
      <c r="E9" s="6">
        <v>1</v>
      </c>
      <c r="F9" s="6">
        <f t="shared" si="0"/>
        <v>96</v>
      </c>
      <c r="G9" s="6">
        <v>1</v>
      </c>
      <c r="H9" s="6">
        <v>1</v>
      </c>
      <c r="I9" s="6">
        <v>5</v>
      </c>
      <c r="J9" s="6" t="s">
        <v>14</v>
      </c>
      <c r="K9" s="6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6">
        <v>1</v>
      </c>
      <c r="H10" s="6">
        <v>1</v>
      </c>
      <c r="I10" s="2">
        <v>1</v>
      </c>
      <c r="J10" s="2" t="s">
        <v>14</v>
      </c>
      <c r="K10" s="1" t="s">
        <v>17</v>
      </c>
    </row>
    <row r="11" customHeight="1" spans="3:11">
      <c r="C11" s="6">
        <v>1006</v>
      </c>
      <c r="D11" s="6" t="s">
        <v>23</v>
      </c>
      <c r="E11" s="6">
        <v>1</v>
      </c>
      <c r="F11" s="6">
        <f t="shared" si="0"/>
        <v>144</v>
      </c>
      <c r="G11" s="6">
        <v>1</v>
      </c>
      <c r="H11" s="6">
        <v>1</v>
      </c>
      <c r="I11" s="6">
        <v>1</v>
      </c>
      <c r="J11" s="6" t="s">
        <v>14</v>
      </c>
      <c r="K11" s="6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6">
        <v>1</v>
      </c>
      <c r="H12" s="6">
        <v>1</v>
      </c>
      <c r="I12" s="3">
        <v>1</v>
      </c>
      <c r="J12" s="3" t="s">
        <v>14</v>
      </c>
      <c r="K12" s="3" t="s">
        <v>26</v>
      </c>
    </row>
    <row r="13" customHeight="1" spans="3:11">
      <c r="C13" s="6">
        <v>1008</v>
      </c>
      <c r="D13" s="6" t="s">
        <v>27</v>
      </c>
      <c r="E13" s="6">
        <v>1</v>
      </c>
      <c r="F13" s="6">
        <f t="shared" si="0"/>
        <v>192</v>
      </c>
      <c r="G13" s="6">
        <v>1</v>
      </c>
      <c r="H13" s="6">
        <v>1</v>
      </c>
      <c r="I13" s="6">
        <v>1</v>
      </c>
      <c r="J13" s="6" t="s">
        <v>14</v>
      </c>
      <c r="K13" s="6" t="s">
        <v>28</v>
      </c>
    </row>
    <row r="14" customHeight="1" spans="3:11">
      <c r="C14" s="6">
        <v>1009</v>
      </c>
      <c r="D14" s="6" t="s">
        <v>29</v>
      </c>
      <c r="E14" s="6">
        <v>1</v>
      </c>
      <c r="F14" s="6">
        <f t="shared" si="0"/>
        <v>216</v>
      </c>
      <c r="G14" s="6">
        <v>1</v>
      </c>
      <c r="H14" s="6">
        <v>1</v>
      </c>
      <c r="I14" s="6">
        <v>5</v>
      </c>
      <c r="J14" s="6" t="s">
        <v>14</v>
      </c>
      <c r="K14" s="6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6">
        <v>1</v>
      </c>
      <c r="H15" s="6">
        <v>1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6">
        <v>1</v>
      </c>
      <c r="H16" s="6">
        <v>1</v>
      </c>
      <c r="I16" s="4">
        <v>1</v>
      </c>
      <c r="J16" s="4" t="s">
        <v>14</v>
      </c>
      <c r="K16" s="4" t="s">
        <v>33</v>
      </c>
    </row>
    <row r="17" customHeight="1" spans="3:11">
      <c r="C17" s="6">
        <v>1012</v>
      </c>
      <c r="D17" s="6" t="s">
        <v>34</v>
      </c>
      <c r="E17" s="6">
        <v>1</v>
      </c>
      <c r="F17" s="6">
        <f t="shared" si="0"/>
        <v>288</v>
      </c>
      <c r="G17" s="6">
        <v>1</v>
      </c>
      <c r="H17" s="6">
        <v>1</v>
      </c>
      <c r="I17" s="6">
        <v>5</v>
      </c>
      <c r="J17" s="6" t="s">
        <v>14</v>
      </c>
      <c r="K17" s="6" t="s">
        <v>15</v>
      </c>
    </row>
    <row r="18" customHeight="1" spans="3:11">
      <c r="C18" s="6">
        <v>1013</v>
      </c>
      <c r="D18" s="6" t="s">
        <v>35</v>
      </c>
      <c r="E18" s="6">
        <v>1</v>
      </c>
      <c r="F18" s="6">
        <f t="shared" si="0"/>
        <v>312</v>
      </c>
      <c r="G18" s="6">
        <v>1</v>
      </c>
      <c r="H18" s="6">
        <v>1</v>
      </c>
      <c r="I18" s="6">
        <v>5</v>
      </c>
      <c r="J18" s="6" t="s">
        <v>14</v>
      </c>
      <c r="K18" s="6" t="s">
        <v>19</v>
      </c>
    </row>
    <row r="19" customHeight="1" spans="3:11">
      <c r="C19" s="6">
        <v>1014</v>
      </c>
      <c r="D19" s="6" t="s">
        <v>36</v>
      </c>
      <c r="E19" s="6">
        <v>1</v>
      </c>
      <c r="F19" s="6">
        <f t="shared" si="0"/>
        <v>336</v>
      </c>
      <c r="G19" s="6">
        <v>1</v>
      </c>
      <c r="H19" s="6">
        <v>1</v>
      </c>
      <c r="I19" s="6">
        <v>5</v>
      </c>
      <c r="J19" s="6" t="s">
        <v>14</v>
      </c>
      <c r="K19" s="6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6">
        <v>1</v>
      </c>
      <c r="H20" s="6">
        <v>1</v>
      </c>
      <c r="I20" s="2">
        <v>1</v>
      </c>
      <c r="J20" s="2" t="s">
        <v>14</v>
      </c>
      <c r="K20" s="1" t="s">
        <v>17</v>
      </c>
    </row>
    <row r="21" customHeight="1" spans="3:11">
      <c r="C21" s="6">
        <v>1016</v>
      </c>
      <c r="D21" s="6" t="s">
        <v>38</v>
      </c>
      <c r="E21" s="6">
        <v>1</v>
      </c>
      <c r="F21" s="6">
        <f t="shared" si="0"/>
        <v>384</v>
      </c>
      <c r="G21" s="6">
        <v>1</v>
      </c>
      <c r="H21" s="6">
        <v>1</v>
      </c>
      <c r="I21" s="6">
        <v>1</v>
      </c>
      <c r="J21" s="6" t="s">
        <v>14</v>
      </c>
      <c r="K21" s="6" t="s">
        <v>24</v>
      </c>
    </row>
    <row r="22" customHeight="1" spans="3:11">
      <c r="C22" s="6">
        <v>1017</v>
      </c>
      <c r="D22" s="6" t="s">
        <v>39</v>
      </c>
      <c r="E22" s="6">
        <v>1</v>
      </c>
      <c r="F22" s="6">
        <f t="shared" si="0"/>
        <v>408</v>
      </c>
      <c r="G22" s="6">
        <v>1</v>
      </c>
      <c r="H22" s="6">
        <v>1</v>
      </c>
      <c r="I22" s="6">
        <v>5</v>
      </c>
      <c r="J22" s="6" t="s">
        <v>14</v>
      </c>
      <c r="K22" s="6" t="s">
        <v>40</v>
      </c>
    </row>
    <row r="23" customHeight="1" spans="3:11">
      <c r="C23" s="6">
        <v>1018</v>
      </c>
      <c r="D23" s="6" t="s">
        <v>41</v>
      </c>
      <c r="E23" s="6">
        <v>1</v>
      </c>
      <c r="F23" s="6">
        <f t="shared" si="0"/>
        <v>432</v>
      </c>
      <c r="G23" s="6">
        <v>1</v>
      </c>
      <c r="H23" s="6">
        <v>1</v>
      </c>
      <c r="I23" s="6">
        <v>1</v>
      </c>
      <c r="J23" s="6" t="s">
        <v>14</v>
      </c>
      <c r="K23" s="6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6">
        <v>1</v>
      </c>
      <c r="H24" s="6">
        <v>1</v>
      </c>
      <c r="I24" s="6">
        <v>5</v>
      </c>
      <c r="J24" s="5" t="s">
        <v>14</v>
      </c>
      <c r="K24" s="6" t="s">
        <v>30</v>
      </c>
    </row>
    <row r="25" customHeight="1" spans="3:11">
      <c r="C25" s="6">
        <v>1020</v>
      </c>
      <c r="D25" s="6" t="s">
        <v>43</v>
      </c>
      <c r="E25" s="6">
        <v>1</v>
      </c>
      <c r="F25" s="6">
        <f t="shared" si="0"/>
        <v>480</v>
      </c>
      <c r="G25" s="6">
        <v>1</v>
      </c>
      <c r="H25" s="6">
        <v>1</v>
      </c>
      <c r="I25" s="6">
        <v>5</v>
      </c>
      <c r="J25" s="6" t="s">
        <v>14</v>
      </c>
      <c r="K25" s="6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6">
        <v>1</v>
      </c>
      <c r="H26" s="6">
        <v>1</v>
      </c>
      <c r="I26" s="4">
        <v>1</v>
      </c>
      <c r="J26" s="4" t="s">
        <v>14</v>
      </c>
      <c r="K26" s="4" t="s">
        <v>33</v>
      </c>
    </row>
    <row r="27" customHeight="1" spans="3:11">
      <c r="C27" s="6">
        <v>1022</v>
      </c>
      <c r="D27" s="6" t="s">
        <v>45</v>
      </c>
      <c r="E27" s="6">
        <v>1</v>
      </c>
      <c r="F27" s="6">
        <f t="shared" si="0"/>
        <v>528</v>
      </c>
      <c r="G27" s="6">
        <v>1</v>
      </c>
      <c r="H27" s="6">
        <v>1</v>
      </c>
      <c r="I27" s="6">
        <v>5</v>
      </c>
      <c r="J27" s="6" t="s">
        <v>14</v>
      </c>
      <c r="K27" s="6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6">
        <v>1</v>
      </c>
      <c r="H28" s="6">
        <v>1</v>
      </c>
      <c r="I28" s="2">
        <v>1</v>
      </c>
      <c r="J28" s="2" t="s">
        <v>14</v>
      </c>
      <c r="K28" s="1" t="s">
        <v>17</v>
      </c>
    </row>
    <row r="29" customHeight="1" spans="3:11">
      <c r="C29" s="6">
        <v>1024</v>
      </c>
      <c r="D29" s="6" t="s">
        <v>47</v>
      </c>
      <c r="E29" s="6">
        <v>1</v>
      </c>
      <c r="F29" s="6">
        <f t="shared" si="0"/>
        <v>576</v>
      </c>
      <c r="G29" s="6">
        <v>1</v>
      </c>
      <c r="H29" s="6">
        <v>1</v>
      </c>
      <c r="I29" s="6">
        <v>5</v>
      </c>
      <c r="J29" s="6" t="s">
        <v>14</v>
      </c>
      <c r="K29" s="6" t="s">
        <v>21</v>
      </c>
    </row>
    <row r="30" customHeight="1" spans="3:11">
      <c r="C30" s="6">
        <v>1025</v>
      </c>
      <c r="D30" s="6" t="s">
        <v>48</v>
      </c>
      <c r="E30" s="6">
        <v>1</v>
      </c>
      <c r="F30" s="6">
        <f t="shared" si="0"/>
        <v>600</v>
      </c>
      <c r="G30" s="6">
        <v>1</v>
      </c>
      <c r="H30" s="6">
        <v>1</v>
      </c>
      <c r="I30" s="6">
        <v>1</v>
      </c>
      <c r="J30" s="6" t="s">
        <v>14</v>
      </c>
      <c r="K30" s="6" t="s">
        <v>24</v>
      </c>
    </row>
    <row r="31" customHeight="1" spans="3:11">
      <c r="C31" s="6">
        <v>1026</v>
      </c>
      <c r="D31" s="6" t="s">
        <v>49</v>
      </c>
      <c r="E31" s="6">
        <v>1</v>
      </c>
      <c r="F31" s="6">
        <f t="shared" si="0"/>
        <v>624</v>
      </c>
      <c r="G31" s="6">
        <v>1</v>
      </c>
      <c r="H31" s="6">
        <v>1</v>
      </c>
      <c r="I31" s="6">
        <v>5</v>
      </c>
      <c r="J31" s="6" t="s">
        <v>14</v>
      </c>
      <c r="K31" s="6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6">
        <v>1</v>
      </c>
      <c r="H32" s="6">
        <v>1</v>
      </c>
      <c r="I32" s="5">
        <v>5</v>
      </c>
      <c r="J32" s="5" t="s">
        <v>14</v>
      </c>
      <c r="K32" s="5" t="s">
        <v>19</v>
      </c>
    </row>
    <row r="33" customHeight="1" spans="3:11">
      <c r="C33" s="6">
        <v>1028</v>
      </c>
      <c r="D33" s="6" t="s">
        <v>51</v>
      </c>
      <c r="E33" s="6">
        <v>1</v>
      </c>
      <c r="F33" s="6">
        <f t="shared" si="0"/>
        <v>672</v>
      </c>
      <c r="G33" s="6">
        <v>1</v>
      </c>
      <c r="H33" s="6">
        <v>1</v>
      </c>
      <c r="I33" s="6">
        <v>1</v>
      </c>
      <c r="J33" s="6" t="s">
        <v>14</v>
      </c>
      <c r="K33" s="6" t="s">
        <v>28</v>
      </c>
    </row>
    <row r="34" customHeight="1" spans="3:11">
      <c r="C34" s="6">
        <v>1029</v>
      </c>
      <c r="D34" s="6" t="s">
        <v>52</v>
      </c>
      <c r="E34" s="6">
        <v>1</v>
      </c>
      <c r="F34" s="6">
        <f t="shared" si="0"/>
        <v>696</v>
      </c>
      <c r="G34" s="6">
        <v>1</v>
      </c>
      <c r="H34" s="6">
        <v>1</v>
      </c>
      <c r="I34" s="6">
        <v>5</v>
      </c>
      <c r="J34" s="6" t="s">
        <v>14</v>
      </c>
      <c r="K34" s="6" t="s">
        <v>30</v>
      </c>
    </row>
    <row r="46" ht="15" customHeight="1" spans="3:11">
      <c r="C46" s="6">
        <v>2001</v>
      </c>
      <c r="D46" s="6" t="s">
        <v>53</v>
      </c>
      <c r="E46" s="6">
        <v>2</v>
      </c>
      <c r="F46" s="6">
        <f t="shared" ref="F46:F109" si="1">(C46-2000)*12</f>
        <v>12</v>
      </c>
      <c r="G46" s="6">
        <v>1</v>
      </c>
      <c r="H46" s="6">
        <v>1</v>
      </c>
      <c r="I46" s="6">
        <v>3</v>
      </c>
      <c r="J46" s="6" t="s">
        <v>54</v>
      </c>
      <c r="K46" s="6" t="s">
        <v>15</v>
      </c>
    </row>
    <row r="47" customHeight="1" spans="3:11">
      <c r="C47" s="6">
        <v>2002</v>
      </c>
      <c r="D47" s="6" t="s">
        <v>55</v>
      </c>
      <c r="E47" s="6">
        <v>2</v>
      </c>
      <c r="F47" s="6">
        <f t="shared" si="1"/>
        <v>24</v>
      </c>
      <c r="G47" s="6">
        <v>1</v>
      </c>
      <c r="H47" s="6">
        <v>1</v>
      </c>
      <c r="I47" s="6">
        <v>3</v>
      </c>
      <c r="J47" s="6" t="s">
        <v>54</v>
      </c>
      <c r="K47" s="6" t="s">
        <v>19</v>
      </c>
    </row>
    <row r="48" customHeight="1" spans="3:11">
      <c r="C48" s="6">
        <v>2003</v>
      </c>
      <c r="D48" s="6" t="s">
        <v>56</v>
      </c>
      <c r="E48" s="6">
        <v>2</v>
      </c>
      <c r="F48" s="6">
        <f t="shared" si="1"/>
        <v>36</v>
      </c>
      <c r="G48" s="6">
        <v>1</v>
      </c>
      <c r="H48" s="6">
        <v>1</v>
      </c>
      <c r="I48" s="6">
        <v>3</v>
      </c>
      <c r="J48" s="6" t="s">
        <v>54</v>
      </c>
      <c r="K48" s="6" t="s">
        <v>21</v>
      </c>
    </row>
    <row r="49" customHeight="1" spans="3:11">
      <c r="C49" s="6">
        <v>2004</v>
      </c>
      <c r="D49" s="6" t="s">
        <v>57</v>
      </c>
      <c r="E49" s="6">
        <v>2</v>
      </c>
      <c r="F49" s="6">
        <f t="shared" si="1"/>
        <v>48</v>
      </c>
      <c r="G49" s="6">
        <v>1</v>
      </c>
      <c r="H49" s="6">
        <v>1</v>
      </c>
      <c r="I49" s="6">
        <v>3</v>
      </c>
      <c r="J49" s="6" t="s">
        <v>54</v>
      </c>
      <c r="K49" s="6" t="s">
        <v>58</v>
      </c>
    </row>
    <row r="50" customHeight="1" spans="3:11">
      <c r="C50" s="6">
        <v>2005</v>
      </c>
      <c r="D50" s="6" t="s">
        <v>59</v>
      </c>
      <c r="E50" s="6">
        <v>2</v>
      </c>
      <c r="F50" s="6">
        <f t="shared" si="1"/>
        <v>60</v>
      </c>
      <c r="G50" s="6">
        <v>1</v>
      </c>
      <c r="H50" s="6">
        <v>1</v>
      </c>
      <c r="I50" s="6">
        <v>3</v>
      </c>
      <c r="J50" s="6" t="s">
        <v>54</v>
      </c>
      <c r="K50" s="6" t="s">
        <v>60</v>
      </c>
    </row>
    <row r="51" customHeight="1" spans="3:11">
      <c r="C51" s="6">
        <v>2006</v>
      </c>
      <c r="D51" s="6" t="s">
        <v>61</v>
      </c>
      <c r="E51" s="6">
        <v>2</v>
      </c>
      <c r="F51" s="6">
        <f t="shared" si="1"/>
        <v>72</v>
      </c>
      <c r="G51" s="6">
        <v>1</v>
      </c>
      <c r="H51" s="6">
        <v>1</v>
      </c>
      <c r="I51" s="6">
        <v>3</v>
      </c>
      <c r="J51" s="6" t="s">
        <v>54</v>
      </c>
      <c r="K51" s="6" t="s">
        <v>62</v>
      </c>
    </row>
    <row r="52" customHeight="1" spans="3:11">
      <c r="C52" s="6">
        <v>2007</v>
      </c>
      <c r="D52" s="6" t="s">
        <v>63</v>
      </c>
      <c r="E52" s="6">
        <v>2</v>
      </c>
      <c r="F52" s="6">
        <f t="shared" si="1"/>
        <v>84</v>
      </c>
      <c r="G52" s="6">
        <v>1</v>
      </c>
      <c r="H52" s="6">
        <v>1</v>
      </c>
      <c r="I52" s="6">
        <v>3</v>
      </c>
      <c r="J52" s="6" t="s">
        <v>54</v>
      </c>
      <c r="K52" s="6" t="s">
        <v>64</v>
      </c>
    </row>
    <row r="53" customHeight="1" spans="3:11">
      <c r="C53" s="6">
        <v>2008</v>
      </c>
      <c r="D53" s="6" t="s">
        <v>65</v>
      </c>
      <c r="E53" s="6">
        <v>2</v>
      </c>
      <c r="F53" s="6">
        <f t="shared" si="1"/>
        <v>96</v>
      </c>
      <c r="G53" s="6">
        <v>1</v>
      </c>
      <c r="H53" s="6">
        <v>1</v>
      </c>
      <c r="I53" s="6">
        <v>5</v>
      </c>
      <c r="J53" s="6" t="s">
        <v>54</v>
      </c>
      <c r="K53" s="6" t="s">
        <v>66</v>
      </c>
    </row>
    <row r="54" customHeight="1" spans="3:11">
      <c r="C54" s="6">
        <v>2009</v>
      </c>
      <c r="D54" s="6" t="s">
        <v>67</v>
      </c>
      <c r="E54" s="6">
        <v>2</v>
      </c>
      <c r="F54" s="6">
        <f t="shared" si="1"/>
        <v>108</v>
      </c>
      <c r="G54" s="6">
        <v>1</v>
      </c>
      <c r="H54" s="6">
        <v>1</v>
      </c>
      <c r="I54" s="6">
        <v>5</v>
      </c>
      <c r="J54" s="6" t="s">
        <v>54</v>
      </c>
      <c r="K54" s="6" t="s">
        <v>68</v>
      </c>
    </row>
    <row r="55" s="4" customFormat="1" customHeight="1" spans="3:11">
      <c r="C55" s="4">
        <v>2010</v>
      </c>
      <c r="D55" s="4" t="s">
        <v>69</v>
      </c>
      <c r="E55" s="4">
        <v>2</v>
      </c>
      <c r="F55" s="4">
        <f t="shared" si="1"/>
        <v>120</v>
      </c>
      <c r="G55" s="4">
        <v>1</v>
      </c>
      <c r="H55" s="4">
        <v>1</v>
      </c>
      <c r="I55" s="4">
        <v>5</v>
      </c>
      <c r="J55" s="4" t="s">
        <v>54</v>
      </c>
      <c r="K55" s="4" t="s">
        <v>70</v>
      </c>
    </row>
    <row r="59" customHeight="1" spans="3:11">
      <c r="C59" s="6">
        <v>3001</v>
      </c>
      <c r="D59" s="6" t="s">
        <v>71</v>
      </c>
      <c r="E59" s="6">
        <v>3</v>
      </c>
      <c r="F59" s="6">
        <v>1000</v>
      </c>
      <c r="G59" s="6">
        <v>1</v>
      </c>
      <c r="H59" s="6">
        <v>1</v>
      </c>
      <c r="I59" s="6">
        <v>5</v>
      </c>
      <c r="J59" s="6" t="s">
        <v>72</v>
      </c>
    </row>
    <row r="60" customHeight="1" spans="3:11">
      <c r="C60" s="6">
        <v>3002</v>
      </c>
      <c r="D60" s="6" t="s">
        <v>73</v>
      </c>
      <c r="E60" s="6">
        <v>3</v>
      </c>
      <c r="F60" s="6">
        <v>5000</v>
      </c>
      <c r="G60" s="6">
        <v>1</v>
      </c>
      <c r="H60" s="6">
        <v>1</v>
      </c>
      <c r="I60" s="6">
        <v>5</v>
      </c>
      <c r="J60" s="6" t="s">
        <v>72</v>
      </c>
    </row>
    <row r="61" customHeight="1" spans="3:11">
      <c r="C61" s="6">
        <v>3003</v>
      </c>
      <c r="D61" s="6" t="s">
        <v>74</v>
      </c>
      <c r="E61" s="6">
        <v>3</v>
      </c>
      <c r="F61" s="6">
        <v>10000</v>
      </c>
      <c r="G61" s="6">
        <v>1</v>
      </c>
      <c r="H61" s="6">
        <v>1</v>
      </c>
      <c r="I61" s="6">
        <v>5</v>
      </c>
      <c r="J61" s="6" t="s">
        <v>72</v>
      </c>
    </row>
    <row r="62" customHeight="1" spans="3:11">
      <c r="C62" s="6">
        <v>3004</v>
      </c>
      <c r="D62" s="6" t="s">
        <v>75</v>
      </c>
      <c r="E62" s="6">
        <v>3</v>
      </c>
      <c r="F62" s="6">
        <v>20000</v>
      </c>
      <c r="G62" s="6">
        <v>1</v>
      </c>
      <c r="H62" s="6">
        <v>1</v>
      </c>
      <c r="I62" s="6">
        <v>5</v>
      </c>
      <c r="J62" s="6" t="s">
        <v>72</v>
      </c>
    </row>
    <row r="63" customHeight="1" spans="3:11">
      <c r="C63" s="6">
        <v>3005</v>
      </c>
      <c r="D63" s="6" t="s">
        <v>76</v>
      </c>
      <c r="E63" s="6">
        <v>3</v>
      </c>
      <c r="F63" s="6">
        <v>40000</v>
      </c>
      <c r="G63" s="6">
        <v>1</v>
      </c>
      <c r="H63" s="6">
        <v>1</v>
      </c>
      <c r="I63" s="6">
        <v>5</v>
      </c>
      <c r="J63" s="6" t="s">
        <v>72</v>
      </c>
    </row>
    <row r="64" customHeight="1" spans="3:11">
      <c r="C64" s="6">
        <v>3006</v>
      </c>
      <c r="D64" s="6" t="s">
        <v>77</v>
      </c>
      <c r="E64" s="6">
        <v>3</v>
      </c>
      <c r="F64" s="6">
        <v>60000</v>
      </c>
      <c r="G64" s="6">
        <v>1</v>
      </c>
      <c r="H64" s="6">
        <v>1</v>
      </c>
      <c r="I64" s="6">
        <v>5</v>
      </c>
      <c r="J64" s="6" t="s">
        <v>72</v>
      </c>
    </row>
    <row r="65" customHeight="1" spans="3:10">
      <c r="C65" s="6">
        <v>3007</v>
      </c>
      <c r="D65" s="6" t="s">
        <v>78</v>
      </c>
      <c r="E65" s="6">
        <v>3</v>
      </c>
      <c r="F65" s="6">
        <v>80000</v>
      </c>
      <c r="G65" s="6">
        <v>1</v>
      </c>
      <c r="H65" s="6">
        <v>1</v>
      </c>
      <c r="I65" s="6">
        <v>5</v>
      </c>
      <c r="J65" s="6" t="s">
        <v>72</v>
      </c>
    </row>
    <row r="68" customHeight="1" spans="3:10">
      <c r="C68" s="6">
        <v>4001</v>
      </c>
      <c r="D68" s="6" t="s">
        <v>79</v>
      </c>
      <c r="E68" s="6">
        <v>4</v>
      </c>
      <c r="F68" s="6">
        <v>100</v>
      </c>
      <c r="G68" s="6">
        <v>1</v>
      </c>
      <c r="H68" s="6">
        <v>1</v>
      </c>
      <c r="I68" s="6">
        <v>1</v>
      </c>
      <c r="J68" s="6" t="s">
        <v>80</v>
      </c>
    </row>
    <row r="69" customHeight="1" spans="3:10">
      <c r="C69" s="6">
        <v>4002</v>
      </c>
      <c r="D69" s="6" t="s">
        <v>81</v>
      </c>
      <c r="E69" s="6">
        <v>4</v>
      </c>
      <c r="F69" s="6">
        <v>200</v>
      </c>
      <c r="G69" s="6">
        <v>1</v>
      </c>
      <c r="H69" s="6">
        <v>1</v>
      </c>
      <c r="I69" s="6">
        <v>1</v>
      </c>
      <c r="J69" s="6" t="s">
        <v>80</v>
      </c>
    </row>
    <row r="70" customHeight="1" spans="3:10">
      <c r="C70" s="6">
        <v>4003</v>
      </c>
      <c r="D70" s="6" t="s">
        <v>82</v>
      </c>
      <c r="E70" s="6">
        <v>4</v>
      </c>
      <c r="F70" s="6">
        <v>300</v>
      </c>
      <c r="G70" s="6">
        <v>1</v>
      </c>
      <c r="H70" s="6">
        <v>1</v>
      </c>
      <c r="I70" s="6">
        <v>1</v>
      </c>
      <c r="J70" s="6" t="s">
        <v>80</v>
      </c>
    </row>
    <row r="71" customHeight="1" spans="3:10">
      <c r="C71" s="6">
        <v>4004</v>
      </c>
      <c r="D71" s="6" t="s">
        <v>83</v>
      </c>
      <c r="E71" s="6">
        <v>4</v>
      </c>
      <c r="F71" s="6">
        <v>400</v>
      </c>
      <c r="G71" s="6">
        <v>1</v>
      </c>
      <c r="H71" s="6">
        <v>1</v>
      </c>
      <c r="I71" s="6">
        <v>1</v>
      </c>
      <c r="J71" s="6" t="s">
        <v>80</v>
      </c>
    </row>
    <row r="72" customHeight="1" spans="3:10">
      <c r="C72" s="6">
        <v>4005</v>
      </c>
      <c r="D72" s="6" t="s">
        <v>84</v>
      </c>
      <c r="E72" s="6">
        <v>4</v>
      </c>
      <c r="F72" s="6">
        <v>500</v>
      </c>
      <c r="G72" s="6">
        <v>1</v>
      </c>
      <c r="H72" s="6">
        <v>1</v>
      </c>
      <c r="I72" s="6">
        <v>1</v>
      </c>
      <c r="J72" s="6" t="s">
        <v>80</v>
      </c>
    </row>
    <row r="74" customHeight="1" spans="3:10">
      <c r="C74" s="6">
        <v>5001</v>
      </c>
      <c r="D74" s="6" t="s">
        <v>85</v>
      </c>
      <c r="E74" s="6">
        <v>5</v>
      </c>
      <c r="F74" s="6">
        <f t="shared" ref="F74:F83" si="2">(C74-5000)*1000</f>
        <v>1000</v>
      </c>
      <c r="G74" s="6">
        <v>1</v>
      </c>
      <c r="H74" s="6">
        <v>1</v>
      </c>
      <c r="I74" s="6">
        <v>5</v>
      </c>
      <c r="J74" s="6" t="s">
        <v>86</v>
      </c>
    </row>
    <row r="75" customHeight="1" spans="3:10">
      <c r="C75" s="6">
        <v>5002</v>
      </c>
      <c r="D75" s="6" t="s">
        <v>87</v>
      </c>
      <c r="E75" s="6">
        <v>5</v>
      </c>
      <c r="F75" s="6">
        <f t="shared" si="2"/>
        <v>2000</v>
      </c>
      <c r="G75" s="6">
        <v>1</v>
      </c>
      <c r="H75" s="6">
        <v>1</v>
      </c>
      <c r="I75" s="6">
        <v>5</v>
      </c>
      <c r="J75" s="6" t="s">
        <v>86</v>
      </c>
    </row>
    <row r="76" customHeight="1" spans="3:10">
      <c r="C76" s="6">
        <v>5003</v>
      </c>
      <c r="D76" s="6" t="s">
        <v>88</v>
      </c>
      <c r="E76" s="6">
        <v>5</v>
      </c>
      <c r="F76" s="6">
        <f t="shared" si="2"/>
        <v>3000</v>
      </c>
      <c r="G76" s="6">
        <v>1</v>
      </c>
      <c r="H76" s="6">
        <v>1</v>
      </c>
      <c r="I76" s="6">
        <v>5</v>
      </c>
      <c r="J76" s="6" t="s">
        <v>86</v>
      </c>
    </row>
    <row r="77" customHeight="1" spans="3:10">
      <c r="C77" s="6">
        <v>5004</v>
      </c>
      <c r="D77" s="6" t="s">
        <v>89</v>
      </c>
      <c r="E77" s="6">
        <v>5</v>
      </c>
      <c r="F77" s="6">
        <f t="shared" si="2"/>
        <v>4000</v>
      </c>
      <c r="G77" s="6">
        <v>1</v>
      </c>
      <c r="H77" s="6">
        <v>1</v>
      </c>
      <c r="I77" s="6">
        <v>5</v>
      </c>
      <c r="J77" s="6" t="s">
        <v>86</v>
      </c>
    </row>
    <row r="78" customHeight="1" spans="3:10">
      <c r="C78" s="6">
        <v>5005</v>
      </c>
      <c r="D78" s="6" t="s">
        <v>90</v>
      </c>
      <c r="E78" s="6">
        <v>5</v>
      </c>
      <c r="F78" s="6">
        <f t="shared" si="2"/>
        <v>5000</v>
      </c>
      <c r="G78" s="6">
        <v>1</v>
      </c>
      <c r="H78" s="6">
        <v>1</v>
      </c>
      <c r="I78" s="6">
        <v>5</v>
      </c>
      <c r="J78" s="6" t="s">
        <v>86</v>
      </c>
    </row>
    <row r="79" customHeight="1" spans="3:10">
      <c r="C79" s="6">
        <v>5006</v>
      </c>
      <c r="D79" s="6" t="s">
        <v>91</v>
      </c>
      <c r="E79" s="6">
        <v>5</v>
      </c>
      <c r="F79" s="6">
        <f t="shared" si="2"/>
        <v>6000</v>
      </c>
      <c r="G79" s="6">
        <v>1</v>
      </c>
      <c r="H79" s="6">
        <v>1</v>
      </c>
      <c r="I79" s="6">
        <v>5</v>
      </c>
      <c r="J79" s="6" t="s">
        <v>86</v>
      </c>
    </row>
    <row r="80" customHeight="1" spans="3:10">
      <c r="C80" s="6">
        <v>5007</v>
      </c>
      <c r="D80" s="6" t="s">
        <v>92</v>
      </c>
      <c r="E80" s="6">
        <v>5</v>
      </c>
      <c r="F80" s="6">
        <f t="shared" si="2"/>
        <v>7000</v>
      </c>
      <c r="G80" s="6">
        <v>1</v>
      </c>
      <c r="H80" s="6">
        <v>1</v>
      </c>
      <c r="I80" s="6">
        <v>5</v>
      </c>
      <c r="J80" s="6" t="s">
        <v>86</v>
      </c>
    </row>
    <row r="82" customHeight="1" spans="3:11">
      <c r="C82" s="6">
        <v>6001</v>
      </c>
      <c r="D82" s="6" t="s">
        <v>93</v>
      </c>
      <c r="E82" s="6">
        <v>6</v>
      </c>
      <c r="F82" s="6">
        <v>100</v>
      </c>
      <c r="G82" s="6">
        <v>1</v>
      </c>
      <c r="H82" s="6">
        <v>1</v>
      </c>
      <c r="I82" s="6">
        <v>1</v>
      </c>
      <c r="J82" s="6" t="s">
        <v>94</v>
      </c>
    </row>
    <row r="83" customHeight="1" spans="3:11">
      <c r="C83" s="6">
        <v>6002</v>
      </c>
      <c r="D83" s="6" t="s">
        <v>95</v>
      </c>
      <c r="E83" s="6">
        <v>6</v>
      </c>
      <c r="F83" s="6">
        <v>200</v>
      </c>
      <c r="G83" s="6">
        <v>1</v>
      </c>
      <c r="H83" s="6">
        <v>1</v>
      </c>
      <c r="I83" s="6">
        <v>1</v>
      </c>
      <c r="J83" s="6" t="s">
        <v>94</v>
      </c>
    </row>
    <row r="84" customHeight="1" spans="3:11">
      <c r="C84" s="6">
        <v>6003</v>
      </c>
      <c r="D84" s="6" t="s">
        <v>96</v>
      </c>
      <c r="E84" s="6">
        <v>6</v>
      </c>
      <c r="F84" s="6">
        <v>300</v>
      </c>
      <c r="G84" s="6">
        <v>1</v>
      </c>
      <c r="H84" s="6">
        <v>1</v>
      </c>
      <c r="I84" s="6">
        <v>1</v>
      </c>
      <c r="J84" s="6" t="s">
        <v>94</v>
      </c>
    </row>
    <row r="85" customHeight="1" spans="3:11">
      <c r="C85" s="6">
        <v>6004</v>
      </c>
      <c r="D85" s="6" t="s">
        <v>97</v>
      </c>
      <c r="E85" s="6">
        <v>6</v>
      </c>
      <c r="F85" s="6">
        <v>400</v>
      </c>
      <c r="G85" s="6">
        <v>1</v>
      </c>
      <c r="H85" s="6">
        <v>1</v>
      </c>
      <c r="I85" s="6">
        <v>1</v>
      </c>
      <c r="J85" s="6" t="s">
        <v>94</v>
      </c>
    </row>
    <row r="86" customHeight="1" spans="3:11">
      <c r="C86" s="6">
        <v>6005</v>
      </c>
      <c r="D86" s="6" t="s">
        <v>98</v>
      </c>
      <c r="E86" s="6">
        <v>6</v>
      </c>
      <c r="F86" s="6">
        <v>500</v>
      </c>
      <c r="G86" s="6">
        <v>1</v>
      </c>
      <c r="H86" s="6">
        <v>1</v>
      </c>
      <c r="I86" s="6">
        <v>1</v>
      </c>
      <c r="J86" s="6" t="s">
        <v>94</v>
      </c>
    </row>
    <row r="87" customHeight="1" spans="3:11">
      <c r="C87" s="6">
        <v>6006</v>
      </c>
      <c r="D87" s="6" t="s">
        <v>99</v>
      </c>
      <c r="E87" s="6">
        <v>6</v>
      </c>
      <c r="F87" s="6">
        <v>600</v>
      </c>
      <c r="G87" s="6">
        <v>1</v>
      </c>
      <c r="H87" s="6">
        <v>1</v>
      </c>
      <c r="I87" s="6">
        <v>1</v>
      </c>
      <c r="J87" s="6" t="s">
        <v>94</v>
      </c>
    </row>
    <row r="88" customHeight="1" spans="3:11">
      <c r="C88" s="6">
        <v>6007</v>
      </c>
      <c r="D88" s="6" t="s">
        <v>100</v>
      </c>
      <c r="E88" s="6">
        <v>6</v>
      </c>
      <c r="F88" s="6">
        <v>700</v>
      </c>
      <c r="G88" s="6">
        <v>1</v>
      </c>
      <c r="H88" s="6">
        <v>1</v>
      </c>
      <c r="I88" s="6">
        <v>1</v>
      </c>
      <c r="J88" s="6" t="s">
        <v>94</v>
      </c>
    </row>
    <row r="89" customHeight="1" spans="3:11">
      <c r="C89" s="6">
        <v>6008</v>
      </c>
      <c r="D89" s="6" t="s">
        <v>101</v>
      </c>
      <c r="E89" s="6">
        <v>6</v>
      </c>
      <c r="F89" s="6">
        <v>800</v>
      </c>
      <c r="G89" s="6">
        <v>1</v>
      </c>
      <c r="H89" s="6">
        <v>1</v>
      </c>
      <c r="I89" s="6">
        <v>1</v>
      </c>
      <c r="J89" s="6" t="s">
        <v>94</v>
      </c>
    </row>
    <row r="90" customHeight="1" spans="3:11">
      <c r="C90" s="6">
        <v>6009</v>
      </c>
      <c r="D90" s="6" t="s">
        <v>102</v>
      </c>
      <c r="E90" s="6">
        <v>6</v>
      </c>
      <c r="F90" s="6">
        <v>900</v>
      </c>
      <c r="G90" s="6">
        <v>1</v>
      </c>
      <c r="H90" s="6">
        <v>1</v>
      </c>
      <c r="I90" s="6">
        <v>1</v>
      </c>
      <c r="J90" s="6" t="s">
        <v>94</v>
      </c>
    </row>
    <row r="91" customHeight="1" spans="3:11">
      <c r="C91" s="6">
        <v>6010</v>
      </c>
      <c r="D91" s="6" t="s">
        <v>103</v>
      </c>
      <c r="E91" s="6">
        <v>6</v>
      </c>
      <c r="F91" s="6">
        <v>1000</v>
      </c>
      <c r="G91" s="6">
        <v>1</v>
      </c>
      <c r="H91" s="6">
        <v>1</v>
      </c>
      <c r="I91" s="6">
        <v>1</v>
      </c>
      <c r="J91" s="6" t="s">
        <v>94</v>
      </c>
    </row>
    <row r="94" customHeight="1" spans="3:11">
      <c r="C94" s="6">
        <v>8001</v>
      </c>
      <c r="D94" s="8" t="s">
        <v>104</v>
      </c>
      <c r="E94" s="6">
        <v>8</v>
      </c>
      <c r="F94" s="6">
        <v>10</v>
      </c>
      <c r="G94" s="5">
        <v>1</v>
      </c>
      <c r="H94" s="5">
        <v>1</v>
      </c>
      <c r="I94" s="5">
        <v>100</v>
      </c>
      <c r="J94" s="5" t="s">
        <v>105</v>
      </c>
      <c r="K94" s="9" t="s">
        <v>106</v>
      </c>
    </row>
    <row r="95" customHeight="1" spans="3:11">
      <c r="C95" s="6">
        <v>8002</v>
      </c>
      <c r="D95" s="8" t="s">
        <v>107</v>
      </c>
      <c r="E95" s="6">
        <v>8</v>
      </c>
      <c r="F95" s="6">
        <v>30</v>
      </c>
      <c r="G95" s="5">
        <v>1</v>
      </c>
      <c r="H95" s="5">
        <v>1</v>
      </c>
      <c r="I95" s="6">
        <v>100</v>
      </c>
      <c r="J95" s="5" t="s">
        <v>105</v>
      </c>
      <c r="K95" s="9" t="s">
        <v>108</v>
      </c>
    </row>
    <row r="96" customHeight="1" spans="3:11">
      <c r="C96" s="6">
        <v>8003</v>
      </c>
      <c r="D96" s="10" t="s">
        <v>109</v>
      </c>
      <c r="E96" s="6">
        <v>8</v>
      </c>
      <c r="F96" s="6">
        <v>50</v>
      </c>
      <c r="G96" s="5">
        <v>1</v>
      </c>
      <c r="H96" s="5">
        <v>1</v>
      </c>
      <c r="I96" s="6">
        <v>10</v>
      </c>
      <c r="J96" s="5" t="s">
        <v>105</v>
      </c>
      <c r="K96" s="9" t="s">
        <v>110</v>
      </c>
    </row>
    <row r="97" customHeight="1" spans="3:11">
      <c r="C97" s="6">
        <v>8004</v>
      </c>
      <c r="D97" s="8" t="s">
        <v>111</v>
      </c>
      <c r="E97" s="6">
        <v>8</v>
      </c>
      <c r="F97" s="6">
        <v>60</v>
      </c>
      <c r="G97" s="5">
        <v>1</v>
      </c>
      <c r="H97" s="5">
        <v>1</v>
      </c>
      <c r="I97" s="6">
        <v>50</v>
      </c>
      <c r="J97" s="5" t="s">
        <v>105</v>
      </c>
      <c r="K97" s="9" t="s">
        <v>112</v>
      </c>
    </row>
    <row r="98" customHeight="1" spans="3:11">
      <c r="C98" s="6">
        <v>8005</v>
      </c>
      <c r="D98" s="8" t="s">
        <v>113</v>
      </c>
      <c r="E98" s="6">
        <v>8</v>
      </c>
      <c r="F98" s="6">
        <v>70</v>
      </c>
      <c r="G98" s="5">
        <v>1</v>
      </c>
      <c r="H98" s="5">
        <v>1</v>
      </c>
      <c r="I98" s="6">
        <v>30</v>
      </c>
      <c r="J98" s="5" t="s">
        <v>105</v>
      </c>
      <c r="K98" s="9" t="s">
        <v>114</v>
      </c>
    </row>
    <row r="99" customHeight="1" spans="3:11">
      <c r="C99" s="6">
        <v>8006</v>
      </c>
      <c r="D99" s="8" t="s">
        <v>115</v>
      </c>
      <c r="E99" s="6">
        <v>8</v>
      </c>
      <c r="F99" s="6">
        <v>80</v>
      </c>
      <c r="G99" s="5">
        <v>1</v>
      </c>
      <c r="H99" s="5">
        <v>1</v>
      </c>
      <c r="I99" s="6">
        <v>10</v>
      </c>
      <c r="J99" s="5" t="s">
        <v>105</v>
      </c>
      <c r="K99" s="9" t="s">
        <v>116</v>
      </c>
    </row>
    <row r="100" customHeight="1" spans="3:11">
      <c r="C100" s="6">
        <v>8007</v>
      </c>
      <c r="D100" s="8" t="s">
        <v>117</v>
      </c>
      <c r="E100" s="6">
        <v>8</v>
      </c>
      <c r="F100" s="6">
        <v>90</v>
      </c>
      <c r="G100" s="5">
        <v>1</v>
      </c>
      <c r="H100" s="5">
        <v>1</v>
      </c>
      <c r="I100" s="6">
        <v>30</v>
      </c>
      <c r="J100" s="5" t="s">
        <v>105</v>
      </c>
      <c r="K100" s="9" t="s">
        <v>118</v>
      </c>
    </row>
    <row r="101" customHeight="1" spans="3:11">
      <c r="C101" s="6">
        <v>8008</v>
      </c>
      <c r="D101" s="8" t="s">
        <v>119</v>
      </c>
      <c r="E101" s="6">
        <v>8</v>
      </c>
      <c r="F101" s="6">
        <v>100</v>
      </c>
      <c r="G101" s="5">
        <v>1</v>
      </c>
      <c r="H101" s="5">
        <v>1</v>
      </c>
      <c r="I101" s="5">
        <v>1</v>
      </c>
      <c r="J101" s="5" t="s">
        <v>105</v>
      </c>
      <c r="K101" s="3" t="s">
        <v>26</v>
      </c>
    </row>
    <row r="106" customHeight="1" spans="3:11">
      <c r="C106" s="6">
        <v>9001</v>
      </c>
      <c r="D106" s="6" t="s">
        <v>120</v>
      </c>
      <c r="E106" s="6">
        <v>9</v>
      </c>
      <c r="F106" s="6">
        <v>10</v>
      </c>
      <c r="G106" s="6">
        <v>1</v>
      </c>
      <c r="H106" s="6">
        <v>81</v>
      </c>
      <c r="I106" s="6">
        <v>50</v>
      </c>
      <c r="J106" s="6" t="s">
        <v>121</v>
      </c>
    </row>
    <row r="107" customHeight="1" spans="3:11">
      <c r="C107" s="6">
        <v>9002</v>
      </c>
      <c r="D107" s="6" t="s">
        <v>122</v>
      </c>
      <c r="E107" s="6">
        <v>9</v>
      </c>
      <c r="F107" s="6">
        <f>F106+10</f>
        <v>20</v>
      </c>
      <c r="G107" s="6">
        <v>1</v>
      </c>
      <c r="H107" s="6">
        <v>82</v>
      </c>
      <c r="I107" s="6">
        <v>50</v>
      </c>
      <c r="J107" s="6" t="s">
        <v>121</v>
      </c>
    </row>
    <row r="108" customHeight="1" spans="3:11">
      <c r="C108" s="6">
        <v>9003</v>
      </c>
      <c r="D108" s="6" t="s">
        <v>123</v>
      </c>
      <c r="E108" s="6">
        <v>9</v>
      </c>
      <c r="F108" s="6">
        <f>F107+10</f>
        <v>30</v>
      </c>
      <c r="G108" s="6">
        <v>1</v>
      </c>
      <c r="H108" s="6">
        <v>83</v>
      </c>
      <c r="I108" s="6">
        <v>50</v>
      </c>
      <c r="J108" s="6" t="s">
        <v>121</v>
      </c>
    </row>
    <row r="109" customHeight="1" spans="3:11">
      <c r="C109" s="6">
        <v>9004</v>
      </c>
      <c r="D109" s="6" t="s">
        <v>124</v>
      </c>
      <c r="E109" s="6">
        <v>9</v>
      </c>
      <c r="F109" s="6">
        <f>F108+10</f>
        <v>40</v>
      </c>
      <c r="G109" s="6">
        <v>1</v>
      </c>
      <c r="H109" s="6">
        <v>84</v>
      </c>
      <c r="I109" s="6">
        <v>50</v>
      </c>
      <c r="J109" s="6" t="s">
        <v>121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2026-04-13T16:38:08Z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