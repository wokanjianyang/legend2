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<sst xmlns="http://schemas.openxmlformats.org/spreadsheetml/2006/main" count="136" uniqueCount="82">
  <si>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</si>
  <si>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</si>
  <si>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</si>
  <si>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</si>
  <si>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</si>
  <si>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</si>
  <si>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</si>
  <si>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</si>
  <si>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</si>
  <si>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</si>
  <si>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</si>
  <si>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</si>
  <si>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</si>
  <si>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</si>
  <si>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</si>
  <si>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</si>
  <si>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</si>
  <si>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</si>
  <si>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Lucky</t>
  </si>
  <si>
    <t>Curse</t>
  </si>
  <si>
    <t>经验</t>
  </si>
  <si>
    <t>掉落金币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</si>
  <si>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</si>
  <si>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</si>
  <si>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</si>
  <si>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</si>
  <si>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</si>
  <si>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</si>
  <si>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</si>
  <si>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</si>
  <si>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</si>
  <si>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</si>
  <si>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</si>
  <si>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</si>
  <si>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</si>
  <si>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</si>
  <si>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</si>
  <si>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</si>
  <si>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</si>
  <si>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</si>
  <si>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</si>
  <si>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</si>
  <si>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鸡王</t>
  </si>
  <si>
    <t>鹿王</t>
  </si>
  <si>
    <t>草人王</t>
  </si>
  <si>
    <t>猫王</t>
  </si>
  <si>
    <t>花王</t>
  </si>
  <si>
    <t>雪王</t>
  </si>
  <si>
    <t>蝙蝠王</t>
  </si>
  <si>
    <t>骷髅王</t>
  </si>
  <si>
    <t>尸王</t>
  </si>
  <si>
    <t>蛇王</t>
  </si>
  <si>
    <t>狼王</t>
  </si>
  <si>
    <t>沙虫王</t>
  </si>
  <si>
    <t>鹰王</t>
  </si>
  <si>
    <t>角虫王</t>
  </si>
  <si>
    <t>蜈蚣王</t>
  </si>
  <si>
    <t>钳虫王</t>
  </si>
  <si>
    <t>蠕虫王</t>
  </si>
  <si>
    <t>猪王</t>
  </si>
  <si>
    <t>猪皇</t>
  </si>
  <si>
    <t>蝎蛇王</t>
  </si>
  <si>
    <t>恶魔教主</t>
  </si>
  <si>
    <t>恶魔教皇</t>
  </si>
  <si>
    <t>邪魔教主</t>
  </si>
  <si>
    <t>邪魔教皇</t>
  </si>
  <si>
    <t>魔猪王</t>
  </si>
  <si>
    <t>烈焰王</t>
  </si>
  <si>
    <t>大邪王</t>
  </si>
  <si>
    <t>尸魔王</t>
  </si>
  <si>
    <t>骨魔王</t>
  </si>
  <si>
    <t>牛魔王</t>
  </si>
  <si>
    <t>水龙王</t>
  </si>
  <si>
    <t>土龙王</t>
  </si>
  <si>
    <t>毒龙王</t>
  </si>
  <si>
    <t>火龙王</t>
  </si>
  <si>
    <t>冰龙王</t>
  </si>
  <si>
    <t>幻影鸡王</t>
  </si>
  <si>
    <t>幻影鹿王</t>
  </si>
  <si>
    <t>幻影草王</t>
  </si>
  <si>
    <t>幻影猫王</t>
  </si>
  <si>
    <t>幻影花王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</si>
</sst>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46"/>
  <sheetViews>
    <sheetView tabSelected="1" workbookViewId="0">
      <selection activeCell="O6" sqref="O6:P45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0" width="11" style="2" customWidth="1"/>
    <col min="11" max="11" width="13.6666666666667" style="2" customWidth="1"/>
    <col min="12" max="12" width="11.1666666666667" style="2" customWidth="1"/>
    <col min="13" max="13" width="10" style="2" customWidth="1"/>
    <col min="14" max="14" width="10.25" style="2" customWidth="1"/>
    <col min="15" max="15" width="5.66666666666667" style="2" customWidth="1"/>
    <col min="16" max="16" width="6.83333333333333" style="2" customWidth="1"/>
    <col min="17" max="17" width="8.75" style="2" customWidth="1"/>
    <col min="18" max="18" width="7.5" style="2" customWidth="1"/>
    <col min="19" max="19" width="8.75" style="2" customWidth="1"/>
    <col min="20" max="20" width="7.50833333333333" style="2" customWidth="1"/>
    <col min="21" max="21" width="8.33333333333333" style="2" customWidth="1"/>
    <col min="22" max="22" width="11.6666666666667" style="2" customWidth="1"/>
    <col min="23" max="23" width="11.1666666666667" style="2" customWidth="1"/>
    <col min="24" max="26" width="9" style="2"/>
    <col min="27" max="28" width="7.16666666666667" style="2" customWidth="1"/>
    <col min="29" max="29" width="8.41666666666667" style="2" customWidth="1"/>
    <col min="30" max="30" width="6.08333333333333" style="2" customWidth="1"/>
    <col min="31" max="31" width="2.91666666666667" style="2" customWidth="1"/>
    <col min="32" max="32" width="5.33333333333333" style="2" customWidth="1"/>
    <col min="33" max="16384" width="9" style="2"/>
  </cols>
  <sheetData>
    <row r="1" s="1" customFormat="1" customHeight="1" spans="1:32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1" t="s">
        <v>0</v>
      </c>
      <c r="AA1" s="2" t="s">
        <v>0</v>
      </c>
      <c r="AB1" s="2" t="s">
        <v>0</v>
      </c>
      <c r="AC1" s="2" t="s">
        <v>0</v>
      </c>
      <c r="AD1" s="1" t="s">
        <v>0</v>
      </c>
      <c r="AE1" s="1" t="s">
        <v>0</v>
      </c>
      <c r="AF1" s="1" t="s">
        <v>0</v>
      </c>
    </row>
    <row r="2" s="1" customFormat="1" customHeight="1" spans="1:32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1" t="s">
        <v>0</v>
      </c>
      <c r="AA2" s="2" t="s">
        <v>0</v>
      </c>
      <c r="AB2" s="2" t="s">
        <v>0</v>
      </c>
      <c r="AC2" s="2" t="s">
        <v>0</v>
      </c>
      <c r="AD2" s="1" t="s">
        <v>0</v>
      </c>
      <c r="AE2" s="1" t="s">
        <v>0</v>
      </c>
      <c r="AF2" s="1" t="s">
        <v>0</v>
      </c>
    </row>
    <row r="3" s="1" customFormat="1" customHeight="1" spans="1:32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4" t="s">
        <v>28</v>
      </c>
      <c r="AE3" s="4" t="s">
        <v>29</v>
      </c>
      <c r="AF3" s="4" t="s">
        <v>30</v>
      </c>
    </row>
    <row r="4" s="1" customFormat="1" customHeight="1" spans="1:32">
      <c r="A4" s="2"/>
      <c r="B4" s="2"/>
      <c r="C4" s="4" t="s">
        <v>31</v>
      </c>
      <c r="D4" s="4" t="s">
        <v>32</v>
      </c>
      <c r="E4" s="4" t="s">
        <v>3</v>
      </c>
      <c r="F4" s="4" t="s">
        <v>33</v>
      </c>
      <c r="G4" s="4" t="s">
        <v>5</v>
      </c>
      <c r="H4" s="4" t="s">
        <v>34</v>
      </c>
      <c r="I4" s="4" t="s">
        <v>35</v>
      </c>
      <c r="J4" s="4" t="s">
        <v>36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37</v>
      </c>
      <c r="W4" s="4" t="s">
        <v>38</v>
      </c>
      <c r="Z4" s="2"/>
      <c r="AA4" s="2"/>
      <c r="AB4" s="2"/>
      <c r="AC4" s="2"/>
      <c r="AD4" s="4" t="s">
        <v>28</v>
      </c>
      <c r="AE4" s="4" t="s">
        <v>29</v>
      </c>
      <c r="AF4" s="4" t="s">
        <v>30</v>
      </c>
    </row>
    <row r="5" s="1" customFormat="1" customHeight="1" spans="1:32">
      <c r="A5" s="2"/>
      <c r="B5" s="2"/>
      <c r="C5" s="4" t="s">
        <v>39</v>
      </c>
      <c r="D5" s="4" t="s">
        <v>39</v>
      </c>
      <c r="E5" s="4" t="s">
        <v>39</v>
      </c>
      <c r="F5" s="4" t="s">
        <v>40</v>
      </c>
      <c r="G5" s="4" t="s">
        <v>39</v>
      </c>
      <c r="H5" s="4" t="s">
        <v>40</v>
      </c>
      <c r="I5" s="4" t="s">
        <v>40</v>
      </c>
      <c r="J5" s="4" t="s">
        <v>40</v>
      </c>
      <c r="K5" s="4" t="s">
        <v>39</v>
      </c>
      <c r="L5" s="4" t="s">
        <v>39</v>
      </c>
      <c r="M5" s="4" t="s">
        <v>39</v>
      </c>
      <c r="N5" s="4" t="s">
        <v>39</v>
      </c>
      <c r="O5" s="4" t="s">
        <v>39</v>
      </c>
      <c r="P5" s="4" t="s">
        <v>39</v>
      </c>
      <c r="Q5" s="4" t="s">
        <v>39</v>
      </c>
      <c r="R5" s="4" t="s">
        <v>39</v>
      </c>
      <c r="S5" s="4" t="s">
        <v>39</v>
      </c>
      <c r="T5" s="4" t="s">
        <v>39</v>
      </c>
      <c r="U5" s="4" t="s">
        <v>39</v>
      </c>
      <c r="V5" s="4" t="s">
        <v>41</v>
      </c>
      <c r="W5" s="4" t="s">
        <v>41</v>
      </c>
      <c r="Z5" s="2"/>
      <c r="AA5" s="2"/>
      <c r="AB5" s="2"/>
      <c r="AC5" s="2"/>
      <c r="AD5" s="4" t="s">
        <v>40</v>
      </c>
      <c r="AE5" s="4" t="s">
        <v>40</v>
      </c>
      <c r="AF5" s="4" t="s">
        <v>40</v>
      </c>
    </row>
    <row r="6" s="1" customFormat="1" ht="11.5" spans="1:32">
      <c r="C6" s="1">
        <v>1</v>
      </c>
      <c r="D6" s="1">
        <v>1</v>
      </c>
      <c r="E6" s="1">
        <v>1</v>
      </c>
      <c r="F6" s="1" t="s">
        <v>42</v>
      </c>
      <c r="G6" s="1">
        <v>1</v>
      </c>
      <c r="H6" s="1">
        <v>5</v>
      </c>
      <c r="I6" s="1">
        <f t="shared" ref="I6:I45" si="0">Y6*Z6/2</f>
        <v>50</v>
      </c>
      <c r="J6" s="1">
        <f t="shared" ref="J6:J45" si="1">Y6*Z6*100</f>
        <v>10000</v>
      </c>
      <c r="K6" s="1">
        <f t="shared" ref="K6:K45" si="2">Y6*6</f>
        <v>6</v>
      </c>
      <c r="L6" s="1">
        <f t="shared" ref="L6:L45" si="3">Y6*4</f>
        <v>4</v>
      </c>
      <c r="M6" s="1">
        <f t="shared" ref="M6:M45" si="4">Y6*3</f>
        <v>3</v>
      </c>
      <c r="N6" s="1">
        <f t="shared" ref="N6:N45" si="5">Y6*5</f>
        <v>5</v>
      </c>
      <c r="O6" s="5">
        <v>1</v>
      </c>
      <c r="P6" s="5">
        <v>1</v>
      </c>
      <c r="Q6" s="1">
        <v>0</v>
      </c>
      <c r="R6" s="1">
        <v>0</v>
      </c>
      <c r="S6" s="1">
        <v>0</v>
      </c>
      <c r="T6" s="5">
        <v>1</v>
      </c>
      <c r="U6" s="5">
        <v>1</v>
      </c>
      <c r="V6" s="1">
        <f t="shared" ref="V6:V45" si="6">X6*100</f>
        <v>1000</v>
      </c>
      <c r="W6" s="1">
        <f t="shared" ref="W6:W45" si="7">X6*100</f>
        <v>1000</v>
      </c>
      <c r="X6" s="1">
        <v>10</v>
      </c>
      <c r="Y6" s="1">
        <v>1</v>
      </c>
      <c r="Z6" s="2">
        <v>100</v>
      </c>
      <c r="AA6" s="2">
        <v>1</v>
      </c>
      <c r="AB6" s="2">
        <v>0</v>
      </c>
      <c r="AC6" s="2">
        <v>10</v>
      </c>
      <c r="AD6" s="1">
        <v>0</v>
      </c>
      <c r="AF6" s="1">
        <v>0</v>
      </c>
    </row>
    <row r="7" customHeight="1" spans="1:32">
      <c r="C7" s="1">
        <v>2</v>
      </c>
      <c r="D7" s="1">
        <v>2</v>
      </c>
      <c r="E7" s="1">
        <v>1</v>
      </c>
      <c r="F7" s="1" t="s">
        <v>43</v>
      </c>
      <c r="G7" s="1">
        <v>2</v>
      </c>
      <c r="H7" s="1">
        <f t="shared" ref="H7:H45" si="8">Y7*Z7*AA7/4</f>
        <v>55</v>
      </c>
      <c r="I7" s="1">
        <f t="shared" si="0"/>
        <v>110</v>
      </c>
      <c r="J7" s="1">
        <f t="shared" si="1"/>
        <v>22000</v>
      </c>
      <c r="K7" s="1">
        <f t="shared" si="2"/>
        <v>12</v>
      </c>
      <c r="L7" s="1">
        <f t="shared" si="3"/>
        <v>8</v>
      </c>
      <c r="M7" s="1">
        <f t="shared" si="4"/>
        <v>6</v>
      </c>
      <c r="N7" s="1">
        <f t="shared" si="5"/>
        <v>10</v>
      </c>
      <c r="O7" s="5">
        <v>2</v>
      </c>
      <c r="P7" s="5">
        <v>10</v>
      </c>
      <c r="Q7" s="1">
        <v>1</v>
      </c>
      <c r="R7" s="1">
        <v>0</v>
      </c>
      <c r="S7" s="1">
        <v>0</v>
      </c>
      <c r="T7" s="5">
        <v>1</v>
      </c>
      <c r="U7" s="5">
        <v>1</v>
      </c>
      <c r="V7" s="1">
        <f t="shared" si="6"/>
        <v>1100</v>
      </c>
      <c r="W7" s="1">
        <f t="shared" si="7"/>
        <v>1100</v>
      </c>
      <c r="X7" s="1">
        <v>11</v>
      </c>
      <c r="Y7" s="1">
        <v>2</v>
      </c>
      <c r="Z7" s="2">
        <f t="shared" ref="Z7:Z16" si="9">Z6+10</f>
        <v>110</v>
      </c>
      <c r="AA7" s="2">
        <v>1</v>
      </c>
      <c r="AB7" s="2">
        <v>1</v>
      </c>
      <c r="AC7" s="2">
        <f t="shared" ref="AC7:AC10" si="10">AC6+5</f>
        <v>15</v>
      </c>
      <c r="AD7" s="1">
        <v>0</v>
      </c>
      <c r="AE7" s="1"/>
      <c r="AF7" s="1">
        <v>0</v>
      </c>
    </row>
    <row r="8" customHeight="1" spans="1:32">
      <c r="C8" s="1">
        <v>3</v>
      </c>
      <c r="D8" s="1">
        <v>3</v>
      </c>
      <c r="E8" s="1">
        <v>1</v>
      </c>
      <c r="F8" s="1" t="s">
        <v>44</v>
      </c>
      <c r="G8" s="1">
        <v>3</v>
      </c>
      <c r="H8" s="1">
        <f t="shared" si="8"/>
        <v>90</v>
      </c>
      <c r="I8" s="1">
        <f t="shared" si="0"/>
        <v>180</v>
      </c>
      <c r="J8" s="1">
        <f t="shared" si="1"/>
        <v>36000</v>
      </c>
      <c r="K8" s="1">
        <f t="shared" si="2"/>
        <v>18</v>
      </c>
      <c r="L8" s="1">
        <f t="shared" si="3"/>
        <v>12</v>
      </c>
      <c r="M8" s="1">
        <f t="shared" si="4"/>
        <v>9</v>
      </c>
      <c r="N8" s="1">
        <f t="shared" si="5"/>
        <v>15</v>
      </c>
      <c r="O8" s="5">
        <v>3</v>
      </c>
      <c r="P8" s="2">
        <f t="shared" ref="P8:P27" si="11">P7+2</f>
        <v>12</v>
      </c>
      <c r="Q8" s="1">
        <v>2</v>
      </c>
      <c r="R8" s="1">
        <v>0</v>
      </c>
      <c r="S8" s="1">
        <v>0</v>
      </c>
      <c r="T8" s="5">
        <v>1</v>
      </c>
      <c r="U8" s="5">
        <v>1</v>
      </c>
      <c r="V8" s="1">
        <f t="shared" si="6"/>
        <v>1200</v>
      </c>
      <c r="W8" s="1">
        <f t="shared" si="7"/>
        <v>1200</v>
      </c>
      <c r="X8" s="1">
        <v>12</v>
      </c>
      <c r="Y8" s="1">
        <v>3</v>
      </c>
      <c r="Z8" s="2">
        <f t="shared" si="9"/>
        <v>120</v>
      </c>
      <c r="AA8" s="2">
        <v>1</v>
      </c>
      <c r="AB8" s="2">
        <v>2</v>
      </c>
      <c r="AC8" s="2">
        <f t="shared" si="10"/>
        <v>20</v>
      </c>
      <c r="AD8" s="1">
        <v>0</v>
      </c>
      <c r="AE8" s="1"/>
      <c r="AF8" s="1">
        <v>0</v>
      </c>
    </row>
    <row r="9" customHeight="1" spans="1:32">
      <c r="C9" s="1">
        <v>4</v>
      </c>
      <c r="D9" s="1">
        <v>4</v>
      </c>
      <c r="E9" s="1">
        <v>1</v>
      </c>
      <c r="F9" s="1" t="s">
        <v>45</v>
      </c>
      <c r="G9" s="1">
        <v>4</v>
      </c>
      <c r="H9" s="1">
        <f t="shared" si="8"/>
        <v>130</v>
      </c>
      <c r="I9" s="1">
        <f t="shared" si="0"/>
        <v>260</v>
      </c>
      <c r="J9" s="1">
        <f t="shared" si="1"/>
        <v>52000</v>
      </c>
      <c r="K9" s="1">
        <f t="shared" si="2"/>
        <v>24</v>
      </c>
      <c r="L9" s="1">
        <f t="shared" si="3"/>
        <v>16</v>
      </c>
      <c r="M9" s="1">
        <f t="shared" si="4"/>
        <v>12</v>
      </c>
      <c r="N9" s="1">
        <f t="shared" si="5"/>
        <v>20</v>
      </c>
      <c r="O9" s="5">
        <v>4</v>
      </c>
      <c r="P9" s="2">
        <f t="shared" si="11"/>
        <v>14</v>
      </c>
      <c r="Q9" s="1">
        <v>3</v>
      </c>
      <c r="R9" s="1">
        <v>0</v>
      </c>
      <c r="S9" s="1">
        <v>0</v>
      </c>
      <c r="T9" s="5">
        <v>1</v>
      </c>
      <c r="U9" s="5">
        <v>1</v>
      </c>
      <c r="V9" s="1">
        <f t="shared" si="6"/>
        <v>1300</v>
      </c>
      <c r="W9" s="1">
        <f t="shared" si="7"/>
        <v>1300</v>
      </c>
      <c r="X9" s="1">
        <v>13</v>
      </c>
      <c r="Y9" s="1">
        <v>4</v>
      </c>
      <c r="Z9" s="2">
        <f t="shared" si="9"/>
        <v>130</v>
      </c>
      <c r="AA9" s="2">
        <v>1</v>
      </c>
      <c r="AB9" s="2">
        <v>3</v>
      </c>
      <c r="AC9" s="2">
        <f t="shared" si="10"/>
        <v>25</v>
      </c>
      <c r="AD9" s="1">
        <v>0</v>
      </c>
      <c r="AE9" s="1"/>
      <c r="AF9" s="1">
        <v>0</v>
      </c>
    </row>
    <row r="10" customHeight="1" spans="1:32">
      <c r="C10" s="1">
        <v>5</v>
      </c>
      <c r="D10" s="1">
        <v>5</v>
      </c>
      <c r="E10" s="1">
        <v>1</v>
      </c>
      <c r="F10" s="1" t="s">
        <v>46</v>
      </c>
      <c r="G10" s="1">
        <v>5</v>
      </c>
      <c r="H10" s="1">
        <f t="shared" si="8"/>
        <v>175</v>
      </c>
      <c r="I10" s="1">
        <f t="shared" si="0"/>
        <v>350</v>
      </c>
      <c r="J10" s="1">
        <f t="shared" si="1"/>
        <v>70000</v>
      </c>
      <c r="K10" s="1">
        <f t="shared" si="2"/>
        <v>30</v>
      </c>
      <c r="L10" s="1">
        <f t="shared" si="3"/>
        <v>20</v>
      </c>
      <c r="M10" s="1">
        <f t="shared" si="4"/>
        <v>15</v>
      </c>
      <c r="N10" s="1">
        <f t="shared" si="5"/>
        <v>25</v>
      </c>
      <c r="O10" s="5">
        <v>5</v>
      </c>
      <c r="P10" s="2">
        <f t="shared" si="11"/>
        <v>16</v>
      </c>
      <c r="Q10" s="1">
        <v>4</v>
      </c>
      <c r="R10" s="1">
        <v>0</v>
      </c>
      <c r="S10" s="1">
        <v>0</v>
      </c>
      <c r="T10" s="5">
        <v>1</v>
      </c>
      <c r="U10" s="5">
        <v>1</v>
      </c>
      <c r="V10" s="1">
        <f t="shared" si="6"/>
        <v>1400</v>
      </c>
      <c r="W10" s="1">
        <f t="shared" si="7"/>
        <v>1400</v>
      </c>
      <c r="X10" s="1">
        <v>14</v>
      </c>
      <c r="Y10" s="1">
        <v>5</v>
      </c>
      <c r="Z10" s="2">
        <f t="shared" si="9"/>
        <v>140</v>
      </c>
      <c r="AA10" s="2">
        <v>1</v>
      </c>
      <c r="AB10" s="2">
        <v>4</v>
      </c>
      <c r="AC10" s="2">
        <f t="shared" si="10"/>
        <v>30</v>
      </c>
      <c r="AD10" s="1">
        <v>0</v>
      </c>
      <c r="AE10" s="1"/>
      <c r="AF10" s="1">
        <v>0</v>
      </c>
    </row>
    <row r="11" customHeight="1" spans="1:32">
      <c r="C11" s="1">
        <v>6</v>
      </c>
      <c r="D11" s="1">
        <v>6</v>
      </c>
      <c r="E11" s="1">
        <v>1</v>
      </c>
      <c r="F11" s="1" t="s">
        <v>47</v>
      </c>
      <c r="G11" s="1">
        <v>6</v>
      </c>
      <c r="H11" s="1">
        <f t="shared" si="8"/>
        <v>450</v>
      </c>
      <c r="I11" s="1">
        <f t="shared" si="0"/>
        <v>450</v>
      </c>
      <c r="J11" s="1">
        <f t="shared" si="1"/>
        <v>90000</v>
      </c>
      <c r="K11" s="1">
        <f t="shared" si="2"/>
        <v>36</v>
      </c>
      <c r="L11" s="1">
        <f t="shared" si="3"/>
        <v>24</v>
      </c>
      <c r="M11" s="1">
        <f t="shared" si="4"/>
        <v>18</v>
      </c>
      <c r="N11" s="1">
        <f t="shared" si="5"/>
        <v>30</v>
      </c>
      <c r="O11" s="5">
        <v>6</v>
      </c>
      <c r="P11" s="2">
        <f t="shared" si="11"/>
        <v>18</v>
      </c>
      <c r="Q11" s="1">
        <v>5</v>
      </c>
      <c r="R11" s="1">
        <v>0</v>
      </c>
      <c r="S11" s="1">
        <v>0</v>
      </c>
      <c r="T11" s="5">
        <v>1</v>
      </c>
      <c r="U11" s="5">
        <v>1</v>
      </c>
      <c r="V11" s="1">
        <f t="shared" si="6"/>
        <v>1500</v>
      </c>
      <c r="W11" s="1">
        <f t="shared" si="7"/>
        <v>1500</v>
      </c>
      <c r="X11" s="1">
        <v>15</v>
      </c>
      <c r="Y11" s="1">
        <v>6</v>
      </c>
      <c r="Z11" s="2">
        <f t="shared" si="9"/>
        <v>150</v>
      </c>
      <c r="AA11" s="2">
        <v>2</v>
      </c>
      <c r="AB11" s="2">
        <v>5</v>
      </c>
      <c r="AC11" s="2">
        <f t="shared" ref="AC11:AC17" si="12">AC10+10</f>
        <v>40</v>
      </c>
      <c r="AD11" s="1">
        <v>0</v>
      </c>
      <c r="AE11" s="1"/>
      <c r="AF11" s="1">
        <v>0</v>
      </c>
    </row>
    <row r="12" customHeight="1" spans="1:32">
      <c r="C12" s="1">
        <v>7</v>
      </c>
      <c r="D12" s="1">
        <v>7</v>
      </c>
      <c r="E12" s="1">
        <v>1</v>
      </c>
      <c r="F12" s="1" t="s">
        <v>48</v>
      </c>
      <c r="G12" s="1">
        <v>7</v>
      </c>
      <c r="H12" s="1">
        <f t="shared" si="8"/>
        <v>560</v>
      </c>
      <c r="I12" s="1">
        <f t="shared" si="0"/>
        <v>560</v>
      </c>
      <c r="J12" s="1">
        <f t="shared" si="1"/>
        <v>112000</v>
      </c>
      <c r="K12" s="1">
        <f t="shared" si="2"/>
        <v>42</v>
      </c>
      <c r="L12" s="1">
        <f t="shared" si="3"/>
        <v>28</v>
      </c>
      <c r="M12" s="1">
        <f t="shared" si="4"/>
        <v>21</v>
      </c>
      <c r="N12" s="1">
        <f t="shared" si="5"/>
        <v>35</v>
      </c>
      <c r="O12" s="5">
        <v>7</v>
      </c>
      <c r="P12" s="2">
        <f t="shared" si="11"/>
        <v>20</v>
      </c>
      <c r="Q12" s="1">
        <v>6</v>
      </c>
      <c r="R12" s="1">
        <v>0</v>
      </c>
      <c r="S12" s="1">
        <v>0</v>
      </c>
      <c r="T12" s="5">
        <v>1</v>
      </c>
      <c r="U12" s="5">
        <v>1</v>
      </c>
      <c r="V12" s="1">
        <f t="shared" si="6"/>
        <v>1600</v>
      </c>
      <c r="W12" s="1">
        <f t="shared" si="7"/>
        <v>1600</v>
      </c>
      <c r="X12" s="1">
        <v>16</v>
      </c>
      <c r="Y12" s="1">
        <v>7</v>
      </c>
      <c r="Z12" s="2">
        <f t="shared" si="9"/>
        <v>160</v>
      </c>
      <c r="AA12" s="2">
        <v>2</v>
      </c>
      <c r="AB12" s="2">
        <v>6</v>
      </c>
      <c r="AC12" s="2">
        <f t="shared" si="12"/>
        <v>50</v>
      </c>
      <c r="AD12" s="1">
        <v>0</v>
      </c>
      <c r="AE12" s="1"/>
      <c r="AF12" s="1">
        <v>0</v>
      </c>
    </row>
    <row r="13" customHeight="1" spans="1:32">
      <c r="C13" s="1">
        <v>8</v>
      </c>
      <c r="D13" s="1">
        <v>8</v>
      </c>
      <c r="E13" s="1">
        <v>1</v>
      </c>
      <c r="F13" s="1" t="s">
        <v>49</v>
      </c>
      <c r="G13" s="1">
        <v>8</v>
      </c>
      <c r="H13" s="1">
        <f t="shared" si="8"/>
        <v>680</v>
      </c>
      <c r="I13" s="1">
        <f t="shared" si="0"/>
        <v>680</v>
      </c>
      <c r="J13" s="1">
        <f t="shared" si="1"/>
        <v>136000</v>
      </c>
      <c r="K13" s="1">
        <f t="shared" si="2"/>
        <v>48</v>
      </c>
      <c r="L13" s="1">
        <f t="shared" si="3"/>
        <v>32</v>
      </c>
      <c r="M13" s="1">
        <f t="shared" si="4"/>
        <v>24</v>
      </c>
      <c r="N13" s="1">
        <f t="shared" si="5"/>
        <v>40</v>
      </c>
      <c r="O13" s="5">
        <v>8</v>
      </c>
      <c r="P13" s="2">
        <f t="shared" si="11"/>
        <v>22</v>
      </c>
      <c r="Q13" s="1">
        <v>7</v>
      </c>
      <c r="R13" s="1">
        <v>0</v>
      </c>
      <c r="S13" s="1">
        <v>0</v>
      </c>
      <c r="T13" s="5">
        <v>1</v>
      </c>
      <c r="U13" s="5">
        <v>1</v>
      </c>
      <c r="V13" s="1">
        <f t="shared" si="6"/>
        <v>1700</v>
      </c>
      <c r="W13" s="1">
        <f t="shared" si="7"/>
        <v>1700</v>
      </c>
      <c r="X13" s="1">
        <v>17</v>
      </c>
      <c r="Y13" s="1">
        <v>8</v>
      </c>
      <c r="Z13" s="2">
        <f t="shared" si="9"/>
        <v>170</v>
      </c>
      <c r="AA13" s="2">
        <v>2</v>
      </c>
      <c r="AB13" s="2">
        <v>7</v>
      </c>
      <c r="AC13" s="2">
        <f t="shared" si="12"/>
        <v>60</v>
      </c>
      <c r="AD13" s="1">
        <v>0</v>
      </c>
      <c r="AE13" s="1"/>
      <c r="AF13" s="1">
        <v>0</v>
      </c>
    </row>
    <row r="14" customHeight="1" spans="1:32">
      <c r="C14" s="1">
        <v>9</v>
      </c>
      <c r="D14" s="1">
        <v>9</v>
      </c>
      <c r="E14" s="1">
        <v>1</v>
      </c>
      <c r="F14" s="1" t="s">
        <v>50</v>
      </c>
      <c r="G14" s="1">
        <v>9</v>
      </c>
      <c r="H14" s="1">
        <f t="shared" si="8"/>
        <v>810</v>
      </c>
      <c r="I14" s="1">
        <f t="shared" si="0"/>
        <v>810</v>
      </c>
      <c r="J14" s="1">
        <f t="shared" si="1"/>
        <v>162000</v>
      </c>
      <c r="K14" s="1">
        <f t="shared" si="2"/>
        <v>54</v>
      </c>
      <c r="L14" s="1">
        <f t="shared" si="3"/>
        <v>36</v>
      </c>
      <c r="M14" s="1">
        <f t="shared" si="4"/>
        <v>27</v>
      </c>
      <c r="N14" s="1">
        <f t="shared" si="5"/>
        <v>45</v>
      </c>
      <c r="O14" s="5">
        <v>9</v>
      </c>
      <c r="P14" s="2">
        <f t="shared" si="11"/>
        <v>24</v>
      </c>
      <c r="Q14" s="1">
        <v>8</v>
      </c>
      <c r="R14" s="1">
        <v>0</v>
      </c>
      <c r="S14" s="1">
        <v>0</v>
      </c>
      <c r="T14" s="5">
        <v>1</v>
      </c>
      <c r="U14" s="5">
        <v>1</v>
      </c>
      <c r="V14" s="1">
        <f t="shared" si="6"/>
        <v>1800</v>
      </c>
      <c r="W14" s="1">
        <f t="shared" si="7"/>
        <v>1800</v>
      </c>
      <c r="X14" s="1">
        <v>18</v>
      </c>
      <c r="Y14" s="1">
        <v>9</v>
      </c>
      <c r="Z14" s="2">
        <f t="shared" si="9"/>
        <v>180</v>
      </c>
      <c r="AA14" s="2">
        <v>2</v>
      </c>
      <c r="AB14" s="2">
        <v>8</v>
      </c>
      <c r="AC14" s="2">
        <f t="shared" si="12"/>
        <v>70</v>
      </c>
      <c r="AD14" s="1">
        <v>0</v>
      </c>
      <c r="AE14" s="1"/>
      <c r="AF14" s="1">
        <v>0</v>
      </c>
    </row>
    <row r="15" customHeight="1" spans="1:32">
      <c r="C15" s="1">
        <v>10</v>
      </c>
      <c r="D15" s="1">
        <v>10</v>
      </c>
      <c r="E15" s="1">
        <v>1</v>
      </c>
      <c r="F15" s="1" t="s">
        <v>51</v>
      </c>
      <c r="G15" s="1">
        <v>10</v>
      </c>
      <c r="H15" s="1">
        <f t="shared" si="8"/>
        <v>950</v>
      </c>
      <c r="I15" s="1">
        <f t="shared" si="0"/>
        <v>950</v>
      </c>
      <c r="J15" s="1">
        <f t="shared" si="1"/>
        <v>190000</v>
      </c>
      <c r="K15" s="1">
        <f t="shared" si="2"/>
        <v>60</v>
      </c>
      <c r="L15" s="1">
        <f t="shared" si="3"/>
        <v>40</v>
      </c>
      <c r="M15" s="1">
        <f t="shared" si="4"/>
        <v>30</v>
      </c>
      <c r="N15" s="1">
        <f t="shared" si="5"/>
        <v>50</v>
      </c>
      <c r="O15" s="5">
        <v>10</v>
      </c>
      <c r="P15" s="2">
        <f t="shared" si="11"/>
        <v>26</v>
      </c>
      <c r="Q15" s="1">
        <v>9</v>
      </c>
      <c r="R15" s="1">
        <v>0</v>
      </c>
      <c r="S15" s="1">
        <v>0</v>
      </c>
      <c r="T15" s="5">
        <v>1</v>
      </c>
      <c r="U15" s="5">
        <v>1</v>
      </c>
      <c r="V15" s="1">
        <f t="shared" si="6"/>
        <v>1900</v>
      </c>
      <c r="W15" s="1">
        <f t="shared" si="7"/>
        <v>1900</v>
      </c>
      <c r="X15" s="1">
        <v>19</v>
      </c>
      <c r="Y15" s="1">
        <v>10</v>
      </c>
      <c r="Z15" s="2">
        <f t="shared" si="9"/>
        <v>190</v>
      </c>
      <c r="AA15" s="2">
        <v>2</v>
      </c>
      <c r="AB15" s="2">
        <v>9</v>
      </c>
      <c r="AC15" s="2">
        <f t="shared" si="12"/>
        <v>80</v>
      </c>
      <c r="AD15" s="1">
        <v>0</v>
      </c>
      <c r="AE15" s="1"/>
      <c r="AF15" s="1">
        <v>0</v>
      </c>
    </row>
    <row r="16" customHeight="1" spans="1:32">
      <c r="C16" s="1">
        <v>11</v>
      </c>
      <c r="D16" s="1">
        <v>11</v>
      </c>
      <c r="E16" s="1">
        <v>1</v>
      </c>
      <c r="F16" s="1" t="s">
        <v>52</v>
      </c>
      <c r="G16" s="1">
        <v>11</v>
      </c>
      <c r="H16" s="1">
        <f t="shared" si="8"/>
        <v>1650</v>
      </c>
      <c r="I16" s="1">
        <f t="shared" si="0"/>
        <v>1100</v>
      </c>
      <c r="J16" s="1">
        <f t="shared" si="1"/>
        <v>220000</v>
      </c>
      <c r="K16" s="1">
        <f t="shared" si="2"/>
        <v>66</v>
      </c>
      <c r="L16" s="1">
        <f t="shared" si="3"/>
        <v>44</v>
      </c>
      <c r="M16" s="1">
        <f t="shared" si="4"/>
        <v>33</v>
      </c>
      <c r="N16" s="1">
        <f t="shared" si="5"/>
        <v>55</v>
      </c>
      <c r="O16" s="5">
        <v>11</v>
      </c>
      <c r="P16" s="2">
        <f t="shared" si="11"/>
        <v>28</v>
      </c>
      <c r="Q16" s="1">
        <v>10</v>
      </c>
      <c r="R16" s="1">
        <v>0</v>
      </c>
      <c r="S16" s="1">
        <v>0</v>
      </c>
      <c r="T16" s="5">
        <v>2</v>
      </c>
      <c r="U16" s="5">
        <v>2</v>
      </c>
      <c r="V16" s="1">
        <f t="shared" si="6"/>
        <v>2000</v>
      </c>
      <c r="W16" s="1">
        <f t="shared" si="7"/>
        <v>2000</v>
      </c>
      <c r="X16" s="1">
        <v>20</v>
      </c>
      <c r="Y16" s="1">
        <v>11</v>
      </c>
      <c r="Z16" s="2">
        <f t="shared" si="9"/>
        <v>200</v>
      </c>
      <c r="AA16" s="2">
        <v>3</v>
      </c>
      <c r="AB16" s="2">
        <v>10</v>
      </c>
      <c r="AC16" s="2">
        <f t="shared" si="12"/>
        <v>90</v>
      </c>
      <c r="AD16" s="1">
        <v>0</v>
      </c>
      <c r="AE16" s="1"/>
      <c r="AF16" s="1">
        <v>0</v>
      </c>
    </row>
    <row r="17" customHeight="1" spans="3:32">
      <c r="C17" s="1">
        <v>12</v>
      </c>
      <c r="D17" s="1">
        <v>12</v>
      </c>
      <c r="E17" s="1">
        <v>1</v>
      </c>
      <c r="F17" s="1" t="s">
        <v>53</v>
      </c>
      <c r="G17" s="1">
        <v>12</v>
      </c>
      <c r="H17" s="1">
        <f t="shared" si="8"/>
        <v>1980</v>
      </c>
      <c r="I17" s="1">
        <f t="shared" si="0"/>
        <v>1320</v>
      </c>
      <c r="J17" s="1">
        <f t="shared" si="1"/>
        <v>264000</v>
      </c>
      <c r="K17" s="1">
        <f t="shared" si="2"/>
        <v>72</v>
      </c>
      <c r="L17" s="1">
        <f t="shared" si="3"/>
        <v>48</v>
      </c>
      <c r="M17" s="1">
        <f t="shared" si="4"/>
        <v>36</v>
      </c>
      <c r="N17" s="1">
        <f t="shared" si="5"/>
        <v>60</v>
      </c>
      <c r="O17" s="5">
        <v>12</v>
      </c>
      <c r="P17" s="2">
        <f t="shared" si="11"/>
        <v>30</v>
      </c>
      <c r="Q17" s="1">
        <v>11</v>
      </c>
      <c r="R17" s="1">
        <v>0</v>
      </c>
      <c r="S17" s="1">
        <v>0</v>
      </c>
      <c r="T17" s="5">
        <v>2</v>
      </c>
      <c r="U17" s="5">
        <v>2</v>
      </c>
      <c r="V17" s="1">
        <f t="shared" si="6"/>
        <v>2100</v>
      </c>
      <c r="W17" s="1">
        <f t="shared" si="7"/>
        <v>2100</v>
      </c>
      <c r="X17" s="1">
        <v>21</v>
      </c>
      <c r="Y17" s="1">
        <v>12</v>
      </c>
      <c r="Z17" s="2">
        <f t="shared" ref="Z17:Z26" si="13">Z16+20</f>
        <v>220</v>
      </c>
      <c r="AA17" s="2">
        <v>3</v>
      </c>
      <c r="AB17" s="2">
        <v>11</v>
      </c>
      <c r="AC17" s="2">
        <f t="shared" si="12"/>
        <v>100</v>
      </c>
      <c r="AD17" s="1">
        <v>0</v>
      </c>
      <c r="AE17" s="1"/>
      <c r="AF17" s="1">
        <v>0</v>
      </c>
    </row>
    <row r="18" customHeight="1" spans="3:32">
      <c r="C18" s="1">
        <v>13</v>
      </c>
      <c r="D18" s="1">
        <v>13</v>
      </c>
      <c r="E18" s="1">
        <v>1</v>
      </c>
      <c r="F18" s="1" t="s">
        <v>54</v>
      </c>
      <c r="G18" s="1">
        <v>13</v>
      </c>
      <c r="H18" s="1">
        <f t="shared" si="8"/>
        <v>2340</v>
      </c>
      <c r="I18" s="1">
        <f t="shared" si="0"/>
        <v>1560</v>
      </c>
      <c r="J18" s="1">
        <f t="shared" si="1"/>
        <v>312000</v>
      </c>
      <c r="K18" s="1">
        <f t="shared" si="2"/>
        <v>78</v>
      </c>
      <c r="L18" s="1">
        <f t="shared" si="3"/>
        <v>52</v>
      </c>
      <c r="M18" s="1">
        <f t="shared" si="4"/>
        <v>39</v>
      </c>
      <c r="N18" s="1">
        <f t="shared" si="5"/>
        <v>65</v>
      </c>
      <c r="O18" s="5">
        <v>13</v>
      </c>
      <c r="P18" s="2">
        <f t="shared" si="11"/>
        <v>32</v>
      </c>
      <c r="Q18" s="1">
        <v>12</v>
      </c>
      <c r="R18" s="1">
        <v>0</v>
      </c>
      <c r="S18" s="1">
        <v>0</v>
      </c>
      <c r="T18" s="5">
        <v>2</v>
      </c>
      <c r="U18" s="5">
        <v>2</v>
      </c>
      <c r="V18" s="1">
        <f t="shared" si="6"/>
        <v>2200</v>
      </c>
      <c r="W18" s="1">
        <f t="shared" si="7"/>
        <v>2200</v>
      </c>
      <c r="X18" s="1">
        <v>22</v>
      </c>
      <c r="Y18" s="1">
        <v>13</v>
      </c>
      <c r="Z18" s="2">
        <f t="shared" si="13"/>
        <v>240</v>
      </c>
      <c r="AA18" s="2">
        <v>3</v>
      </c>
      <c r="AB18" s="2">
        <v>12</v>
      </c>
      <c r="AC18" s="2">
        <f t="shared" ref="AC18:AC27" si="14">AC17+20</f>
        <v>120</v>
      </c>
      <c r="AD18" s="1">
        <v>0</v>
      </c>
      <c r="AE18" s="1"/>
      <c r="AF18" s="1">
        <v>0</v>
      </c>
    </row>
    <row r="19" customHeight="1" spans="3:32">
      <c r="C19" s="1">
        <v>14</v>
      </c>
      <c r="D19" s="1">
        <v>14</v>
      </c>
      <c r="E19" s="1">
        <v>1</v>
      </c>
      <c r="F19" s="1" t="s">
        <v>55</v>
      </c>
      <c r="G19" s="1">
        <v>14</v>
      </c>
      <c r="H19" s="1">
        <f t="shared" si="8"/>
        <v>2730</v>
      </c>
      <c r="I19" s="1">
        <f t="shared" si="0"/>
        <v>1820</v>
      </c>
      <c r="J19" s="1">
        <f t="shared" si="1"/>
        <v>364000</v>
      </c>
      <c r="K19" s="1">
        <f t="shared" si="2"/>
        <v>84</v>
      </c>
      <c r="L19" s="1">
        <f t="shared" si="3"/>
        <v>56</v>
      </c>
      <c r="M19" s="1">
        <f t="shared" si="4"/>
        <v>42</v>
      </c>
      <c r="N19" s="1">
        <f t="shared" si="5"/>
        <v>70</v>
      </c>
      <c r="O19" s="5">
        <v>14</v>
      </c>
      <c r="P19" s="2">
        <f t="shared" si="11"/>
        <v>34</v>
      </c>
      <c r="Q19" s="1">
        <v>13</v>
      </c>
      <c r="R19" s="1">
        <v>0</v>
      </c>
      <c r="S19" s="1">
        <v>0</v>
      </c>
      <c r="T19" s="5">
        <v>2</v>
      </c>
      <c r="U19" s="5">
        <v>2</v>
      </c>
      <c r="V19" s="1">
        <f t="shared" si="6"/>
        <v>2300</v>
      </c>
      <c r="W19" s="1">
        <f t="shared" si="7"/>
        <v>2300</v>
      </c>
      <c r="X19" s="1">
        <v>23</v>
      </c>
      <c r="Y19" s="1">
        <v>14</v>
      </c>
      <c r="Z19" s="2">
        <f t="shared" si="13"/>
        <v>260</v>
      </c>
      <c r="AA19" s="2">
        <v>3</v>
      </c>
      <c r="AB19" s="2">
        <v>13</v>
      </c>
      <c r="AC19" s="2">
        <f t="shared" si="14"/>
        <v>140</v>
      </c>
      <c r="AD19" s="1">
        <v>0</v>
      </c>
      <c r="AE19" s="1"/>
      <c r="AF19" s="1">
        <v>0</v>
      </c>
    </row>
    <row r="20" customHeight="1" spans="3:32">
      <c r="C20" s="1">
        <v>15</v>
      </c>
      <c r="D20" s="1">
        <v>15</v>
      </c>
      <c r="E20" s="1">
        <v>1</v>
      </c>
      <c r="F20" s="1" t="s">
        <v>56</v>
      </c>
      <c r="G20" s="1">
        <v>15</v>
      </c>
      <c r="H20" s="1">
        <f t="shared" si="8"/>
        <v>3150</v>
      </c>
      <c r="I20" s="1">
        <f t="shared" si="0"/>
        <v>2100</v>
      </c>
      <c r="J20" s="1">
        <f t="shared" si="1"/>
        <v>420000</v>
      </c>
      <c r="K20" s="1">
        <f t="shared" si="2"/>
        <v>90</v>
      </c>
      <c r="L20" s="1">
        <f t="shared" si="3"/>
        <v>60</v>
      </c>
      <c r="M20" s="1">
        <f t="shared" si="4"/>
        <v>45</v>
      </c>
      <c r="N20" s="1">
        <f t="shared" si="5"/>
        <v>75</v>
      </c>
      <c r="O20" s="5">
        <v>15</v>
      </c>
      <c r="P20" s="2">
        <f t="shared" si="11"/>
        <v>36</v>
      </c>
      <c r="Q20" s="1">
        <v>14</v>
      </c>
      <c r="R20" s="1">
        <v>0</v>
      </c>
      <c r="S20" s="1">
        <v>0</v>
      </c>
      <c r="T20" s="5">
        <v>2</v>
      </c>
      <c r="U20" s="5">
        <v>2</v>
      </c>
      <c r="V20" s="1">
        <f t="shared" si="6"/>
        <v>2400</v>
      </c>
      <c r="W20" s="1">
        <f t="shared" si="7"/>
        <v>2400</v>
      </c>
      <c r="X20" s="1">
        <v>24</v>
      </c>
      <c r="Y20" s="1">
        <v>15</v>
      </c>
      <c r="Z20" s="2">
        <f t="shared" si="13"/>
        <v>280</v>
      </c>
      <c r="AA20" s="2">
        <v>3</v>
      </c>
      <c r="AB20" s="2">
        <v>14</v>
      </c>
      <c r="AC20" s="2">
        <f t="shared" si="14"/>
        <v>160</v>
      </c>
      <c r="AD20" s="1">
        <v>0</v>
      </c>
      <c r="AE20" s="1"/>
      <c r="AF20" s="1">
        <v>0</v>
      </c>
    </row>
    <row r="21" customHeight="1" spans="3:32">
      <c r="C21" s="1">
        <v>16</v>
      </c>
      <c r="D21" s="1">
        <v>16</v>
      </c>
      <c r="E21" s="1">
        <v>1</v>
      </c>
      <c r="F21" s="1" t="s">
        <v>57</v>
      </c>
      <c r="G21" s="1">
        <v>16</v>
      </c>
      <c r="H21" s="1">
        <f t="shared" si="8"/>
        <v>4800</v>
      </c>
      <c r="I21" s="1">
        <f t="shared" si="0"/>
        <v>2400</v>
      </c>
      <c r="J21" s="1">
        <f t="shared" si="1"/>
        <v>480000</v>
      </c>
      <c r="K21" s="1">
        <f t="shared" si="2"/>
        <v>96</v>
      </c>
      <c r="L21" s="1">
        <f t="shared" si="3"/>
        <v>64</v>
      </c>
      <c r="M21" s="1">
        <f t="shared" si="4"/>
        <v>48</v>
      </c>
      <c r="N21" s="1">
        <f t="shared" si="5"/>
        <v>80</v>
      </c>
      <c r="O21" s="5">
        <v>16</v>
      </c>
      <c r="P21" s="2">
        <f t="shared" si="11"/>
        <v>38</v>
      </c>
      <c r="Q21" s="1">
        <v>15</v>
      </c>
      <c r="R21" s="1">
        <v>0</v>
      </c>
      <c r="S21" s="1">
        <v>0</v>
      </c>
      <c r="T21" s="5">
        <v>2</v>
      </c>
      <c r="U21" s="5">
        <v>2</v>
      </c>
      <c r="V21" s="1">
        <f t="shared" si="6"/>
        <v>2500</v>
      </c>
      <c r="W21" s="1">
        <f t="shared" si="7"/>
        <v>2500</v>
      </c>
      <c r="X21" s="1">
        <v>25</v>
      </c>
      <c r="Y21" s="1">
        <v>16</v>
      </c>
      <c r="Z21" s="2">
        <f t="shared" si="13"/>
        <v>300</v>
      </c>
      <c r="AA21" s="2">
        <v>4</v>
      </c>
      <c r="AB21" s="2">
        <v>15</v>
      </c>
      <c r="AC21" s="2">
        <f t="shared" si="14"/>
        <v>180</v>
      </c>
      <c r="AD21" s="1">
        <v>0</v>
      </c>
      <c r="AE21" s="1"/>
      <c r="AF21" s="1">
        <v>0</v>
      </c>
    </row>
    <row r="22" customHeight="1" spans="3:32">
      <c r="C22" s="1">
        <v>17</v>
      </c>
      <c r="D22" s="1">
        <v>17</v>
      </c>
      <c r="E22" s="1">
        <v>1</v>
      </c>
      <c r="F22" s="1" t="s">
        <v>58</v>
      </c>
      <c r="G22" s="1">
        <v>17</v>
      </c>
      <c r="H22" s="1">
        <f t="shared" si="8"/>
        <v>5440</v>
      </c>
      <c r="I22" s="1">
        <f t="shared" si="0"/>
        <v>2720</v>
      </c>
      <c r="J22" s="1">
        <f t="shared" si="1"/>
        <v>544000</v>
      </c>
      <c r="K22" s="1">
        <f t="shared" si="2"/>
        <v>102</v>
      </c>
      <c r="L22" s="1">
        <f t="shared" si="3"/>
        <v>68</v>
      </c>
      <c r="M22" s="1">
        <f t="shared" si="4"/>
        <v>51</v>
      </c>
      <c r="N22" s="1">
        <f t="shared" si="5"/>
        <v>85</v>
      </c>
      <c r="O22" s="5">
        <v>17</v>
      </c>
      <c r="P22" s="2">
        <f t="shared" si="11"/>
        <v>40</v>
      </c>
      <c r="Q22" s="1">
        <v>16</v>
      </c>
      <c r="R22" s="1">
        <v>0</v>
      </c>
      <c r="S22" s="1">
        <v>0</v>
      </c>
      <c r="T22" s="5">
        <v>2</v>
      </c>
      <c r="U22" s="5">
        <v>2</v>
      </c>
      <c r="V22" s="1">
        <f t="shared" si="6"/>
        <v>2600</v>
      </c>
      <c r="W22" s="1">
        <f t="shared" si="7"/>
        <v>2600</v>
      </c>
      <c r="X22" s="1">
        <v>26</v>
      </c>
      <c r="Y22" s="1">
        <v>17</v>
      </c>
      <c r="Z22" s="2">
        <f t="shared" si="13"/>
        <v>320</v>
      </c>
      <c r="AA22" s="2">
        <v>4</v>
      </c>
      <c r="AB22" s="2">
        <v>16</v>
      </c>
      <c r="AC22" s="2">
        <f t="shared" si="14"/>
        <v>200</v>
      </c>
      <c r="AD22" s="1">
        <v>0</v>
      </c>
      <c r="AE22" s="1"/>
      <c r="AF22" s="1">
        <v>0</v>
      </c>
    </row>
    <row r="23" customHeight="1" spans="3:32">
      <c r="C23" s="1">
        <v>18</v>
      </c>
      <c r="D23" s="1">
        <v>18</v>
      </c>
      <c r="E23" s="1">
        <v>1</v>
      </c>
      <c r="F23" s="1" t="s">
        <v>59</v>
      </c>
      <c r="G23" s="1">
        <v>18</v>
      </c>
      <c r="H23" s="1">
        <f t="shared" si="8"/>
        <v>6120</v>
      </c>
      <c r="I23" s="1">
        <f t="shared" si="0"/>
        <v>3060</v>
      </c>
      <c r="J23" s="1">
        <f t="shared" si="1"/>
        <v>612000</v>
      </c>
      <c r="K23" s="1">
        <f t="shared" si="2"/>
        <v>108</v>
      </c>
      <c r="L23" s="1">
        <f t="shared" si="3"/>
        <v>72</v>
      </c>
      <c r="M23" s="1">
        <f t="shared" si="4"/>
        <v>54</v>
      </c>
      <c r="N23" s="1">
        <f t="shared" si="5"/>
        <v>90</v>
      </c>
      <c r="O23" s="5">
        <v>18</v>
      </c>
      <c r="P23" s="2">
        <f t="shared" si="11"/>
        <v>42</v>
      </c>
      <c r="Q23" s="1">
        <v>17</v>
      </c>
      <c r="R23" s="1">
        <v>0</v>
      </c>
      <c r="S23" s="1">
        <v>0</v>
      </c>
      <c r="T23" s="5">
        <v>2</v>
      </c>
      <c r="U23" s="5">
        <v>2</v>
      </c>
      <c r="V23" s="1">
        <f t="shared" si="6"/>
        <v>2700</v>
      </c>
      <c r="W23" s="1">
        <f t="shared" si="7"/>
        <v>2700</v>
      </c>
      <c r="X23" s="1">
        <v>27</v>
      </c>
      <c r="Y23" s="1">
        <v>18</v>
      </c>
      <c r="Z23" s="2">
        <f t="shared" si="13"/>
        <v>340</v>
      </c>
      <c r="AA23" s="2">
        <v>4</v>
      </c>
      <c r="AB23" s="2">
        <v>17</v>
      </c>
      <c r="AC23" s="2">
        <f t="shared" si="14"/>
        <v>220</v>
      </c>
      <c r="AD23" s="1">
        <v>0</v>
      </c>
      <c r="AE23" s="1"/>
      <c r="AF23" s="1">
        <v>0</v>
      </c>
    </row>
    <row r="24" customHeight="1" spans="3:32">
      <c r="C24" s="1">
        <v>19</v>
      </c>
      <c r="D24" s="1">
        <v>19</v>
      </c>
      <c r="E24" s="1">
        <v>1</v>
      </c>
      <c r="F24" s="1" t="s">
        <v>60</v>
      </c>
      <c r="G24" s="1">
        <v>19</v>
      </c>
      <c r="H24" s="1">
        <f t="shared" si="8"/>
        <v>6840</v>
      </c>
      <c r="I24" s="1">
        <f t="shared" si="0"/>
        <v>3420</v>
      </c>
      <c r="J24" s="1">
        <f t="shared" si="1"/>
        <v>684000</v>
      </c>
      <c r="K24" s="1">
        <f t="shared" si="2"/>
        <v>114</v>
      </c>
      <c r="L24" s="1">
        <f t="shared" si="3"/>
        <v>76</v>
      </c>
      <c r="M24" s="1">
        <f t="shared" si="4"/>
        <v>57</v>
      </c>
      <c r="N24" s="1">
        <f t="shared" si="5"/>
        <v>95</v>
      </c>
      <c r="O24" s="5">
        <v>19</v>
      </c>
      <c r="P24" s="2">
        <f t="shared" si="11"/>
        <v>44</v>
      </c>
      <c r="Q24" s="1">
        <v>18</v>
      </c>
      <c r="R24" s="1">
        <v>0</v>
      </c>
      <c r="S24" s="1">
        <v>0</v>
      </c>
      <c r="T24" s="5">
        <v>2</v>
      </c>
      <c r="U24" s="5">
        <v>2</v>
      </c>
      <c r="V24" s="1">
        <f t="shared" si="6"/>
        <v>2800</v>
      </c>
      <c r="W24" s="1">
        <f t="shared" si="7"/>
        <v>2800</v>
      </c>
      <c r="X24" s="1">
        <v>28</v>
      </c>
      <c r="Y24" s="1">
        <v>19</v>
      </c>
      <c r="Z24" s="2">
        <f t="shared" si="13"/>
        <v>360</v>
      </c>
      <c r="AA24" s="2">
        <v>4</v>
      </c>
      <c r="AB24" s="2">
        <v>18</v>
      </c>
      <c r="AC24" s="2">
        <f t="shared" si="14"/>
        <v>240</v>
      </c>
      <c r="AD24" s="1">
        <v>0</v>
      </c>
      <c r="AE24" s="1"/>
      <c r="AF24" s="1">
        <v>0</v>
      </c>
    </row>
    <row r="25" customHeight="1" spans="3:32">
      <c r="C25" s="1">
        <v>20</v>
      </c>
      <c r="D25" s="1">
        <v>20</v>
      </c>
      <c r="E25" s="1">
        <v>1</v>
      </c>
      <c r="F25" s="1" t="s">
        <v>61</v>
      </c>
      <c r="G25" s="1">
        <v>20</v>
      </c>
      <c r="H25" s="1">
        <f t="shared" si="8"/>
        <v>7600</v>
      </c>
      <c r="I25" s="1">
        <f t="shared" si="0"/>
        <v>3800</v>
      </c>
      <c r="J25" s="1">
        <f t="shared" si="1"/>
        <v>760000</v>
      </c>
      <c r="K25" s="1">
        <f t="shared" si="2"/>
        <v>120</v>
      </c>
      <c r="L25" s="1">
        <f t="shared" si="3"/>
        <v>80</v>
      </c>
      <c r="M25" s="1">
        <f t="shared" si="4"/>
        <v>60</v>
      </c>
      <c r="N25" s="1">
        <f t="shared" si="5"/>
        <v>100</v>
      </c>
      <c r="O25" s="5">
        <v>20</v>
      </c>
      <c r="P25" s="2">
        <f t="shared" si="11"/>
        <v>46</v>
      </c>
      <c r="Q25" s="1">
        <v>19</v>
      </c>
      <c r="R25" s="1">
        <v>0</v>
      </c>
      <c r="S25" s="1">
        <v>0</v>
      </c>
      <c r="T25" s="5">
        <v>2</v>
      </c>
      <c r="U25" s="5">
        <v>2</v>
      </c>
      <c r="V25" s="1">
        <f t="shared" si="6"/>
        <v>2900</v>
      </c>
      <c r="W25" s="1">
        <f t="shared" si="7"/>
        <v>2900</v>
      </c>
      <c r="X25" s="1">
        <v>29</v>
      </c>
      <c r="Y25" s="1">
        <v>20</v>
      </c>
      <c r="Z25" s="2">
        <f t="shared" si="13"/>
        <v>380</v>
      </c>
      <c r="AA25" s="2">
        <v>4</v>
      </c>
      <c r="AB25" s="2">
        <v>19</v>
      </c>
      <c r="AC25" s="2">
        <f t="shared" si="14"/>
        <v>260</v>
      </c>
      <c r="AD25" s="1">
        <v>0</v>
      </c>
      <c r="AE25" s="1"/>
      <c r="AF25" s="1">
        <v>0</v>
      </c>
    </row>
    <row r="26" customHeight="1" spans="3:32">
      <c r="C26" s="1">
        <v>21</v>
      </c>
      <c r="D26" s="1">
        <v>21</v>
      </c>
      <c r="E26" s="1">
        <v>1</v>
      </c>
      <c r="F26" s="1" t="s">
        <v>62</v>
      </c>
      <c r="G26" s="1">
        <v>21</v>
      </c>
      <c r="H26" s="1">
        <f t="shared" si="8"/>
        <v>10500</v>
      </c>
      <c r="I26" s="1">
        <f t="shared" si="0"/>
        <v>4200</v>
      </c>
      <c r="J26" s="1">
        <f t="shared" si="1"/>
        <v>840000</v>
      </c>
      <c r="K26" s="1">
        <f t="shared" si="2"/>
        <v>126</v>
      </c>
      <c r="L26" s="1">
        <f t="shared" si="3"/>
        <v>84</v>
      </c>
      <c r="M26" s="1">
        <f t="shared" si="4"/>
        <v>63</v>
      </c>
      <c r="N26" s="1">
        <f t="shared" si="5"/>
        <v>105</v>
      </c>
      <c r="O26" s="5">
        <v>21</v>
      </c>
      <c r="P26" s="2">
        <f t="shared" si="11"/>
        <v>48</v>
      </c>
      <c r="Q26" s="1">
        <v>20</v>
      </c>
      <c r="R26" s="1">
        <v>0</v>
      </c>
      <c r="S26" s="1">
        <v>0</v>
      </c>
      <c r="T26" s="5">
        <v>3</v>
      </c>
      <c r="U26" s="5">
        <v>3</v>
      </c>
      <c r="V26" s="1">
        <f t="shared" si="6"/>
        <v>3000</v>
      </c>
      <c r="W26" s="1">
        <f t="shared" si="7"/>
        <v>3000</v>
      </c>
      <c r="X26" s="1">
        <v>30</v>
      </c>
      <c r="Y26" s="1">
        <v>21</v>
      </c>
      <c r="Z26" s="2">
        <f t="shared" si="13"/>
        <v>400</v>
      </c>
      <c r="AA26" s="2">
        <v>5</v>
      </c>
      <c r="AB26" s="2">
        <v>20</v>
      </c>
      <c r="AC26" s="2">
        <f t="shared" si="14"/>
        <v>280</v>
      </c>
      <c r="AD26" s="1">
        <v>0</v>
      </c>
      <c r="AE26" s="1"/>
      <c r="AF26" s="1">
        <v>0</v>
      </c>
    </row>
    <row r="27" customHeight="1" spans="3:32">
      <c r="C27" s="1">
        <v>22</v>
      </c>
      <c r="D27" s="1">
        <v>22</v>
      </c>
      <c r="E27" s="1">
        <v>1</v>
      </c>
      <c r="F27" s="1" t="s">
        <v>63</v>
      </c>
      <c r="G27" s="1">
        <v>22</v>
      </c>
      <c r="H27" s="1">
        <f t="shared" si="8"/>
        <v>12100</v>
      </c>
      <c r="I27" s="1">
        <f t="shared" si="0"/>
        <v>4840</v>
      </c>
      <c r="J27" s="1">
        <f t="shared" si="1"/>
        <v>968000</v>
      </c>
      <c r="K27" s="1">
        <f t="shared" si="2"/>
        <v>132</v>
      </c>
      <c r="L27" s="1">
        <f t="shared" si="3"/>
        <v>88</v>
      </c>
      <c r="M27" s="1">
        <f t="shared" si="4"/>
        <v>66</v>
      </c>
      <c r="N27" s="1">
        <f t="shared" si="5"/>
        <v>110</v>
      </c>
      <c r="O27" s="5">
        <v>22</v>
      </c>
      <c r="P27" s="2">
        <f t="shared" si="11"/>
        <v>50</v>
      </c>
      <c r="Q27" s="1">
        <v>21</v>
      </c>
      <c r="R27" s="1">
        <v>0</v>
      </c>
      <c r="S27" s="1">
        <v>0</v>
      </c>
      <c r="T27" s="5">
        <v>3</v>
      </c>
      <c r="U27" s="5">
        <v>3</v>
      </c>
      <c r="V27" s="1">
        <f t="shared" si="6"/>
        <v>3100</v>
      </c>
      <c r="W27" s="1">
        <f t="shared" si="7"/>
        <v>3100</v>
      </c>
      <c r="X27" s="1">
        <v>31</v>
      </c>
      <c r="Y27" s="1">
        <v>22</v>
      </c>
      <c r="Z27" s="2">
        <f t="shared" ref="Z27:Z36" si="15">Z26+40</f>
        <v>440</v>
      </c>
      <c r="AA27" s="2">
        <v>5</v>
      </c>
      <c r="AB27" s="2">
        <v>21</v>
      </c>
      <c r="AC27" s="2">
        <f t="shared" si="14"/>
        <v>300</v>
      </c>
      <c r="AD27" s="1">
        <v>0</v>
      </c>
      <c r="AE27" s="1"/>
      <c r="AF27" s="1">
        <v>0</v>
      </c>
    </row>
    <row r="28" customHeight="1" spans="3:32">
      <c r="C28" s="1">
        <v>23</v>
      </c>
      <c r="D28" s="1">
        <v>23</v>
      </c>
      <c r="E28" s="1">
        <v>1</v>
      </c>
      <c r="F28" s="1" t="s">
        <v>64</v>
      </c>
      <c r="G28" s="1">
        <v>23</v>
      </c>
      <c r="H28" s="1">
        <f t="shared" si="8"/>
        <v>13800</v>
      </c>
      <c r="I28" s="1">
        <f t="shared" si="0"/>
        <v>5520</v>
      </c>
      <c r="J28" s="1">
        <f t="shared" si="1"/>
        <v>1104000</v>
      </c>
      <c r="K28" s="1">
        <f t="shared" si="2"/>
        <v>138</v>
      </c>
      <c r="L28" s="1">
        <f t="shared" si="3"/>
        <v>92</v>
      </c>
      <c r="M28" s="1">
        <f t="shared" si="4"/>
        <v>69</v>
      </c>
      <c r="N28" s="1">
        <f t="shared" si="5"/>
        <v>115</v>
      </c>
      <c r="O28" s="5">
        <v>23</v>
      </c>
      <c r="P28" s="2">
        <f t="shared" ref="P28:P45" si="16">P27+5</f>
        <v>55</v>
      </c>
      <c r="Q28" s="1">
        <v>22</v>
      </c>
      <c r="R28" s="1">
        <v>0</v>
      </c>
      <c r="S28" s="1">
        <v>0</v>
      </c>
      <c r="T28" s="5">
        <v>3</v>
      </c>
      <c r="U28" s="5">
        <v>3</v>
      </c>
      <c r="V28" s="1">
        <f t="shared" si="6"/>
        <v>3200</v>
      </c>
      <c r="W28" s="1">
        <f t="shared" si="7"/>
        <v>3200</v>
      </c>
      <c r="X28" s="1">
        <v>32</v>
      </c>
      <c r="Y28" s="1">
        <v>23</v>
      </c>
      <c r="Z28" s="2">
        <f t="shared" si="15"/>
        <v>480</v>
      </c>
      <c r="AA28" s="2">
        <v>5</v>
      </c>
      <c r="AB28" s="2">
        <v>22</v>
      </c>
      <c r="AC28" s="2">
        <f t="shared" ref="AC28:AC37" si="17">AC27+30</f>
        <v>330</v>
      </c>
      <c r="AD28" s="1">
        <v>0</v>
      </c>
      <c r="AE28" s="1"/>
      <c r="AF28" s="1">
        <v>0</v>
      </c>
    </row>
    <row r="29" customHeight="1" spans="3:32">
      <c r="C29" s="1">
        <v>24</v>
      </c>
      <c r="D29" s="1">
        <v>24</v>
      </c>
      <c r="E29" s="1">
        <v>1</v>
      </c>
      <c r="F29" s="1" t="s">
        <v>65</v>
      </c>
      <c r="G29" s="1">
        <v>24</v>
      </c>
      <c r="H29" s="1">
        <f t="shared" si="8"/>
        <v>15600</v>
      </c>
      <c r="I29" s="1">
        <f t="shared" si="0"/>
        <v>6240</v>
      </c>
      <c r="J29" s="1">
        <f t="shared" si="1"/>
        <v>1248000</v>
      </c>
      <c r="K29" s="1">
        <f t="shared" si="2"/>
        <v>144</v>
      </c>
      <c r="L29" s="1">
        <f t="shared" si="3"/>
        <v>96</v>
      </c>
      <c r="M29" s="1">
        <f t="shared" si="4"/>
        <v>72</v>
      </c>
      <c r="N29" s="1">
        <f t="shared" si="5"/>
        <v>120</v>
      </c>
      <c r="O29" s="5">
        <v>24</v>
      </c>
      <c r="P29" s="2">
        <f t="shared" si="16"/>
        <v>60</v>
      </c>
      <c r="Q29" s="1">
        <v>23</v>
      </c>
      <c r="R29" s="1">
        <v>0</v>
      </c>
      <c r="S29" s="1">
        <v>0</v>
      </c>
      <c r="T29" s="5">
        <v>3</v>
      </c>
      <c r="U29" s="5">
        <v>3</v>
      </c>
      <c r="V29" s="1">
        <f t="shared" si="6"/>
        <v>3300</v>
      </c>
      <c r="W29" s="1">
        <f t="shared" si="7"/>
        <v>3300</v>
      </c>
      <c r="X29" s="1">
        <v>33</v>
      </c>
      <c r="Y29" s="1">
        <v>24</v>
      </c>
      <c r="Z29" s="2">
        <f t="shared" si="15"/>
        <v>520</v>
      </c>
      <c r="AA29" s="2">
        <v>5</v>
      </c>
      <c r="AB29" s="2">
        <v>23</v>
      </c>
      <c r="AC29" s="2">
        <f t="shared" si="17"/>
        <v>360</v>
      </c>
      <c r="AD29" s="1">
        <v>0</v>
      </c>
      <c r="AE29" s="1"/>
      <c r="AF29" s="1">
        <v>0</v>
      </c>
    </row>
    <row r="30" customHeight="1" spans="3:32">
      <c r="C30" s="1">
        <v>25</v>
      </c>
      <c r="D30" s="1">
        <v>25</v>
      </c>
      <c r="E30" s="1">
        <v>1</v>
      </c>
      <c r="F30" s="1" t="s">
        <v>66</v>
      </c>
      <c r="G30" s="1">
        <v>25</v>
      </c>
      <c r="H30" s="1">
        <f t="shared" si="8"/>
        <v>17500</v>
      </c>
      <c r="I30" s="1">
        <f t="shared" si="0"/>
        <v>7000</v>
      </c>
      <c r="J30" s="1">
        <f t="shared" si="1"/>
        <v>1400000</v>
      </c>
      <c r="K30" s="1">
        <f t="shared" si="2"/>
        <v>150</v>
      </c>
      <c r="L30" s="1">
        <f t="shared" si="3"/>
        <v>100</v>
      </c>
      <c r="M30" s="1">
        <f t="shared" si="4"/>
        <v>75</v>
      </c>
      <c r="N30" s="1">
        <f t="shared" si="5"/>
        <v>125</v>
      </c>
      <c r="O30" s="5">
        <v>25</v>
      </c>
      <c r="P30" s="2">
        <f t="shared" si="16"/>
        <v>65</v>
      </c>
      <c r="Q30" s="1">
        <v>24</v>
      </c>
      <c r="R30" s="1">
        <v>0</v>
      </c>
      <c r="S30" s="1">
        <v>0</v>
      </c>
      <c r="T30" s="5">
        <v>3</v>
      </c>
      <c r="U30" s="5">
        <v>3</v>
      </c>
      <c r="V30" s="1">
        <f t="shared" si="6"/>
        <v>3400</v>
      </c>
      <c r="W30" s="1">
        <f t="shared" si="7"/>
        <v>3400</v>
      </c>
      <c r="X30" s="1">
        <v>34</v>
      </c>
      <c r="Y30" s="1">
        <v>25</v>
      </c>
      <c r="Z30" s="2">
        <f t="shared" si="15"/>
        <v>560</v>
      </c>
      <c r="AA30" s="2">
        <v>5</v>
      </c>
      <c r="AB30" s="2">
        <v>24</v>
      </c>
      <c r="AC30" s="2">
        <f t="shared" si="17"/>
        <v>390</v>
      </c>
      <c r="AD30" s="1">
        <v>0</v>
      </c>
      <c r="AE30" s="1"/>
      <c r="AF30" s="1">
        <v>0</v>
      </c>
    </row>
    <row r="31" customHeight="1" spans="3:32">
      <c r="C31" s="1">
        <v>26</v>
      </c>
      <c r="D31" s="1">
        <v>26</v>
      </c>
      <c r="E31" s="1">
        <v>1</v>
      </c>
      <c r="F31" s="1" t="s">
        <v>67</v>
      </c>
      <c r="G31" s="1">
        <v>26</v>
      </c>
      <c r="H31" s="1">
        <f t="shared" si="8"/>
        <v>23400</v>
      </c>
      <c r="I31" s="1">
        <f t="shared" si="0"/>
        <v>7800</v>
      </c>
      <c r="J31" s="1">
        <f t="shared" si="1"/>
        <v>1560000</v>
      </c>
      <c r="K31" s="1">
        <f t="shared" si="2"/>
        <v>156</v>
      </c>
      <c r="L31" s="1">
        <f t="shared" si="3"/>
        <v>104</v>
      </c>
      <c r="M31" s="1">
        <f t="shared" si="4"/>
        <v>78</v>
      </c>
      <c r="N31" s="1">
        <f t="shared" si="5"/>
        <v>130</v>
      </c>
      <c r="O31" s="5">
        <v>26</v>
      </c>
      <c r="P31" s="2">
        <f t="shared" si="16"/>
        <v>70</v>
      </c>
      <c r="Q31" s="1">
        <v>25</v>
      </c>
      <c r="R31" s="1">
        <v>0</v>
      </c>
      <c r="S31" s="1">
        <v>0</v>
      </c>
      <c r="T31" s="5">
        <v>3</v>
      </c>
      <c r="U31" s="5">
        <v>3</v>
      </c>
      <c r="V31" s="1">
        <f t="shared" si="6"/>
        <v>3500</v>
      </c>
      <c r="W31" s="1">
        <f t="shared" si="7"/>
        <v>3500</v>
      </c>
      <c r="X31" s="1">
        <v>35</v>
      </c>
      <c r="Y31" s="1">
        <v>26</v>
      </c>
      <c r="Z31" s="2">
        <f t="shared" si="15"/>
        <v>600</v>
      </c>
      <c r="AA31" s="2">
        <v>6</v>
      </c>
      <c r="AB31" s="2">
        <v>25</v>
      </c>
      <c r="AC31" s="2">
        <f t="shared" si="17"/>
        <v>420</v>
      </c>
      <c r="AD31" s="1">
        <v>0</v>
      </c>
      <c r="AE31" s="1"/>
      <c r="AF31" s="1">
        <v>0</v>
      </c>
    </row>
    <row r="32" customHeight="1" spans="3:32">
      <c r="C32" s="1">
        <v>27</v>
      </c>
      <c r="D32" s="1">
        <v>27</v>
      </c>
      <c r="E32" s="1">
        <v>1</v>
      </c>
      <c r="F32" s="1" t="s">
        <v>68</v>
      </c>
      <c r="G32" s="1">
        <v>27</v>
      </c>
      <c r="H32" s="1">
        <f t="shared" si="8"/>
        <v>25920</v>
      </c>
      <c r="I32" s="1">
        <f t="shared" si="0"/>
        <v>8640</v>
      </c>
      <c r="J32" s="1">
        <f t="shared" si="1"/>
        <v>1728000</v>
      </c>
      <c r="K32" s="1">
        <f t="shared" si="2"/>
        <v>162</v>
      </c>
      <c r="L32" s="1">
        <f t="shared" si="3"/>
        <v>108</v>
      </c>
      <c r="M32" s="1">
        <f t="shared" si="4"/>
        <v>81</v>
      </c>
      <c r="N32" s="1">
        <f t="shared" si="5"/>
        <v>135</v>
      </c>
      <c r="O32" s="5">
        <v>27</v>
      </c>
      <c r="P32" s="2">
        <f t="shared" si="16"/>
        <v>75</v>
      </c>
      <c r="Q32" s="1">
        <v>26</v>
      </c>
      <c r="R32" s="1">
        <v>0</v>
      </c>
      <c r="S32" s="1">
        <v>0</v>
      </c>
      <c r="T32" s="5">
        <v>3</v>
      </c>
      <c r="U32" s="5">
        <v>3</v>
      </c>
      <c r="V32" s="1">
        <f t="shared" si="6"/>
        <v>3600</v>
      </c>
      <c r="W32" s="1">
        <f t="shared" si="7"/>
        <v>3600</v>
      </c>
      <c r="X32" s="1">
        <v>36</v>
      </c>
      <c r="Y32" s="1">
        <v>27</v>
      </c>
      <c r="Z32" s="2">
        <f t="shared" si="15"/>
        <v>640</v>
      </c>
      <c r="AA32" s="2">
        <v>6</v>
      </c>
      <c r="AB32" s="2">
        <v>26</v>
      </c>
      <c r="AC32" s="2">
        <f t="shared" si="17"/>
        <v>450</v>
      </c>
      <c r="AD32" s="1">
        <v>0</v>
      </c>
      <c r="AE32" s="1"/>
      <c r="AF32" s="1">
        <v>0</v>
      </c>
    </row>
    <row r="33" customHeight="1" spans="1:32">
      <c r="C33" s="1">
        <v>28</v>
      </c>
      <c r="D33" s="1">
        <v>28</v>
      </c>
      <c r="E33" s="1">
        <v>1</v>
      </c>
      <c r="F33" s="1" t="s">
        <v>69</v>
      </c>
      <c r="G33" s="1">
        <v>28</v>
      </c>
      <c r="H33" s="1">
        <f t="shared" si="8"/>
        <v>28560</v>
      </c>
      <c r="I33" s="1">
        <f t="shared" si="0"/>
        <v>9520</v>
      </c>
      <c r="J33" s="1">
        <f t="shared" si="1"/>
        <v>1904000</v>
      </c>
      <c r="K33" s="1">
        <f t="shared" si="2"/>
        <v>168</v>
      </c>
      <c r="L33" s="1">
        <f t="shared" si="3"/>
        <v>112</v>
      </c>
      <c r="M33" s="1">
        <f t="shared" si="4"/>
        <v>84</v>
      </c>
      <c r="N33" s="1">
        <f t="shared" si="5"/>
        <v>140</v>
      </c>
      <c r="O33" s="5">
        <v>28</v>
      </c>
      <c r="P33" s="2">
        <f t="shared" si="16"/>
        <v>80</v>
      </c>
      <c r="Q33" s="1">
        <v>27</v>
      </c>
      <c r="R33" s="1">
        <v>0</v>
      </c>
      <c r="S33" s="1">
        <v>0</v>
      </c>
      <c r="T33" s="5">
        <v>3</v>
      </c>
      <c r="U33" s="5">
        <v>3</v>
      </c>
      <c r="V33" s="1">
        <f t="shared" si="6"/>
        <v>3700</v>
      </c>
      <c r="W33" s="1">
        <f t="shared" si="7"/>
        <v>3700</v>
      </c>
      <c r="X33" s="1">
        <v>37</v>
      </c>
      <c r="Y33" s="1">
        <v>28</v>
      </c>
      <c r="Z33" s="2">
        <f t="shared" si="15"/>
        <v>680</v>
      </c>
      <c r="AA33" s="2">
        <v>6</v>
      </c>
      <c r="AB33" s="2">
        <v>27</v>
      </c>
      <c r="AC33" s="2">
        <f t="shared" si="17"/>
        <v>480</v>
      </c>
      <c r="AD33" s="1">
        <v>0</v>
      </c>
      <c r="AE33" s="1"/>
      <c r="AF33" s="1">
        <v>0</v>
      </c>
    </row>
    <row r="34" customHeight="1" spans="1:32">
      <c r="C34" s="1">
        <v>29</v>
      </c>
      <c r="D34" s="1">
        <v>29</v>
      </c>
      <c r="E34" s="1">
        <v>1</v>
      </c>
      <c r="F34" s="1" t="s">
        <v>70</v>
      </c>
      <c r="G34" s="1">
        <v>29</v>
      </c>
      <c r="H34" s="1">
        <f t="shared" si="8"/>
        <v>31320</v>
      </c>
      <c r="I34" s="1">
        <f t="shared" si="0"/>
        <v>10440</v>
      </c>
      <c r="J34" s="1">
        <f t="shared" si="1"/>
        <v>2088000</v>
      </c>
      <c r="K34" s="1">
        <f t="shared" si="2"/>
        <v>174</v>
      </c>
      <c r="L34" s="1">
        <f t="shared" si="3"/>
        <v>116</v>
      </c>
      <c r="M34" s="1">
        <f t="shared" si="4"/>
        <v>87</v>
      </c>
      <c r="N34" s="1">
        <f t="shared" si="5"/>
        <v>145</v>
      </c>
      <c r="O34" s="5">
        <v>29</v>
      </c>
      <c r="P34" s="2">
        <f t="shared" si="16"/>
        <v>85</v>
      </c>
      <c r="Q34" s="1">
        <v>28</v>
      </c>
      <c r="R34" s="1">
        <v>0</v>
      </c>
      <c r="S34" s="1">
        <v>0</v>
      </c>
      <c r="T34" s="5">
        <v>3</v>
      </c>
      <c r="U34" s="5">
        <v>3</v>
      </c>
      <c r="V34" s="1">
        <f t="shared" si="6"/>
        <v>3800</v>
      </c>
      <c r="W34" s="1">
        <f t="shared" si="7"/>
        <v>3800</v>
      </c>
      <c r="X34" s="1">
        <v>38</v>
      </c>
      <c r="Y34" s="1">
        <v>29</v>
      </c>
      <c r="Z34" s="2">
        <f t="shared" si="15"/>
        <v>720</v>
      </c>
      <c r="AA34" s="2">
        <v>6</v>
      </c>
      <c r="AB34" s="2">
        <v>28</v>
      </c>
      <c r="AC34" s="2">
        <f t="shared" si="17"/>
        <v>510</v>
      </c>
      <c r="AD34" s="1">
        <v>0</v>
      </c>
      <c r="AE34" s="1"/>
      <c r="AF34" s="1">
        <v>0</v>
      </c>
    </row>
    <row r="35" customHeight="1" spans="1:32">
      <c r="C35" s="1">
        <v>30</v>
      </c>
      <c r="D35" s="1">
        <v>30</v>
      </c>
      <c r="E35" s="1">
        <v>1</v>
      </c>
      <c r="F35" s="1" t="s">
        <v>71</v>
      </c>
      <c r="G35" s="1">
        <v>30</v>
      </c>
      <c r="H35" s="1">
        <f t="shared" si="8"/>
        <v>34200</v>
      </c>
      <c r="I35" s="1">
        <f t="shared" si="0"/>
        <v>11400</v>
      </c>
      <c r="J35" s="1">
        <f t="shared" si="1"/>
        <v>2280000</v>
      </c>
      <c r="K35" s="1">
        <f t="shared" si="2"/>
        <v>180</v>
      </c>
      <c r="L35" s="1">
        <f t="shared" si="3"/>
        <v>120</v>
      </c>
      <c r="M35" s="1">
        <f t="shared" si="4"/>
        <v>90</v>
      </c>
      <c r="N35" s="1">
        <f t="shared" si="5"/>
        <v>150</v>
      </c>
      <c r="O35" s="5">
        <v>30</v>
      </c>
      <c r="P35" s="2">
        <f t="shared" si="16"/>
        <v>90</v>
      </c>
      <c r="Q35" s="1">
        <v>29</v>
      </c>
      <c r="R35" s="1">
        <v>0</v>
      </c>
      <c r="S35" s="1">
        <v>0</v>
      </c>
      <c r="T35" s="5">
        <v>3</v>
      </c>
      <c r="U35" s="5">
        <v>3</v>
      </c>
      <c r="V35" s="1">
        <f t="shared" si="6"/>
        <v>3900</v>
      </c>
      <c r="W35" s="1">
        <f t="shared" si="7"/>
        <v>3900</v>
      </c>
      <c r="X35" s="1">
        <v>39</v>
      </c>
      <c r="Y35" s="1">
        <v>30</v>
      </c>
      <c r="Z35" s="2">
        <f t="shared" si="15"/>
        <v>760</v>
      </c>
      <c r="AA35" s="2">
        <v>6</v>
      </c>
      <c r="AB35" s="2">
        <v>29</v>
      </c>
      <c r="AC35" s="2">
        <f t="shared" si="17"/>
        <v>540</v>
      </c>
      <c r="AD35" s="1">
        <v>0</v>
      </c>
      <c r="AE35" s="1"/>
      <c r="AF35" s="1">
        <v>0</v>
      </c>
    </row>
    <row r="36" customHeight="1" spans="1:32">
      <c r="C36" s="1">
        <v>31</v>
      </c>
      <c r="D36" s="1">
        <v>31</v>
      </c>
      <c r="E36" s="1">
        <v>1</v>
      </c>
      <c r="F36" s="1" t="s">
        <v>72</v>
      </c>
      <c r="G36" s="1">
        <v>31</v>
      </c>
      <c r="H36" s="1">
        <f t="shared" si="8"/>
        <v>43400</v>
      </c>
      <c r="I36" s="1">
        <f t="shared" si="0"/>
        <v>12400</v>
      </c>
      <c r="J36" s="1">
        <f t="shared" si="1"/>
        <v>2480000</v>
      </c>
      <c r="K36" s="1">
        <f t="shared" si="2"/>
        <v>186</v>
      </c>
      <c r="L36" s="1">
        <f t="shared" si="3"/>
        <v>124</v>
      </c>
      <c r="M36" s="1">
        <f t="shared" si="4"/>
        <v>93</v>
      </c>
      <c r="N36" s="1">
        <f t="shared" si="5"/>
        <v>155</v>
      </c>
      <c r="O36" s="5">
        <v>31</v>
      </c>
      <c r="P36" s="2">
        <f t="shared" si="16"/>
        <v>95</v>
      </c>
      <c r="Q36" s="1">
        <v>30</v>
      </c>
      <c r="R36" s="1">
        <v>0</v>
      </c>
      <c r="S36" s="1">
        <v>0</v>
      </c>
      <c r="T36" s="5">
        <v>4</v>
      </c>
      <c r="U36" s="5">
        <v>4</v>
      </c>
      <c r="V36" s="1">
        <f t="shared" si="6"/>
        <v>4000</v>
      </c>
      <c r="W36" s="1">
        <f t="shared" si="7"/>
        <v>4000</v>
      </c>
      <c r="X36" s="1">
        <v>40</v>
      </c>
      <c r="Y36" s="1">
        <v>31</v>
      </c>
      <c r="Z36" s="2">
        <f t="shared" si="15"/>
        <v>800</v>
      </c>
      <c r="AA36" s="2">
        <v>7</v>
      </c>
      <c r="AB36" s="2">
        <v>30</v>
      </c>
      <c r="AC36" s="2">
        <f t="shared" si="17"/>
        <v>570</v>
      </c>
      <c r="AD36" s="1">
        <v>0</v>
      </c>
      <c r="AE36" s="1"/>
      <c r="AF36" s="1">
        <v>0</v>
      </c>
    </row>
    <row r="37" customHeight="1" spans="1:32">
      <c r="C37" s="1">
        <v>32</v>
      </c>
      <c r="D37" s="1">
        <v>32</v>
      </c>
      <c r="E37" s="1">
        <v>1</v>
      </c>
      <c r="F37" s="1" t="s">
        <v>73</v>
      </c>
      <c r="G37" s="1">
        <v>32</v>
      </c>
      <c r="H37" s="1">
        <f t="shared" si="8"/>
        <v>49280</v>
      </c>
      <c r="I37" s="1">
        <f t="shared" si="0"/>
        <v>14080</v>
      </c>
      <c r="J37" s="1">
        <f t="shared" si="1"/>
        <v>2816000</v>
      </c>
      <c r="K37" s="1">
        <f t="shared" si="2"/>
        <v>192</v>
      </c>
      <c r="L37" s="1">
        <f t="shared" si="3"/>
        <v>128</v>
      </c>
      <c r="M37" s="1">
        <f t="shared" si="4"/>
        <v>96</v>
      </c>
      <c r="N37" s="1">
        <f t="shared" si="5"/>
        <v>160</v>
      </c>
      <c r="O37" s="5">
        <v>32</v>
      </c>
      <c r="P37" s="2">
        <f t="shared" si="16"/>
        <v>100</v>
      </c>
      <c r="Q37" s="1">
        <v>31</v>
      </c>
      <c r="R37" s="1">
        <v>0</v>
      </c>
      <c r="S37" s="1">
        <v>0</v>
      </c>
      <c r="T37" s="5">
        <v>4</v>
      </c>
      <c r="U37" s="5">
        <v>4</v>
      </c>
      <c r="V37" s="1">
        <f t="shared" si="6"/>
        <v>4100</v>
      </c>
      <c r="W37" s="1">
        <f t="shared" si="7"/>
        <v>4100</v>
      </c>
      <c r="X37" s="1">
        <v>41</v>
      </c>
      <c r="Y37" s="1">
        <v>32</v>
      </c>
      <c r="Z37" s="2">
        <f t="shared" ref="Z37:Z45" si="18">Z36+80</f>
        <v>880</v>
      </c>
      <c r="AA37" s="2">
        <v>7</v>
      </c>
      <c r="AB37" s="2">
        <v>31</v>
      </c>
      <c r="AC37" s="2">
        <f t="shared" si="17"/>
        <v>600</v>
      </c>
      <c r="AD37" s="1">
        <v>0</v>
      </c>
      <c r="AE37" s="1"/>
      <c r="AF37" s="1">
        <v>0</v>
      </c>
    </row>
    <row r="38" customHeight="1" spans="1:32">
      <c r="C38" s="1">
        <v>33</v>
      </c>
      <c r="D38" s="1">
        <v>33</v>
      </c>
      <c r="E38" s="1">
        <v>1</v>
      </c>
      <c r="F38" s="1" t="s">
        <v>74</v>
      </c>
      <c r="G38" s="1">
        <v>33</v>
      </c>
      <c r="H38" s="1">
        <f t="shared" si="8"/>
        <v>55440</v>
      </c>
      <c r="I38" s="1">
        <f t="shared" si="0"/>
        <v>15840</v>
      </c>
      <c r="J38" s="1">
        <f t="shared" si="1"/>
        <v>3168000</v>
      </c>
      <c r="K38" s="1">
        <f t="shared" si="2"/>
        <v>198</v>
      </c>
      <c r="L38" s="1">
        <f t="shared" si="3"/>
        <v>132</v>
      </c>
      <c r="M38" s="1">
        <f t="shared" si="4"/>
        <v>99</v>
      </c>
      <c r="N38" s="1">
        <f t="shared" si="5"/>
        <v>165</v>
      </c>
      <c r="O38" s="5">
        <v>33</v>
      </c>
      <c r="P38" s="2">
        <f t="shared" si="16"/>
        <v>105</v>
      </c>
      <c r="Q38" s="1">
        <v>32</v>
      </c>
      <c r="R38" s="1">
        <v>0</v>
      </c>
      <c r="S38" s="1">
        <v>0</v>
      </c>
      <c r="T38" s="5">
        <v>4</v>
      </c>
      <c r="U38" s="5">
        <v>4</v>
      </c>
      <c r="V38" s="1">
        <f t="shared" si="6"/>
        <v>4200</v>
      </c>
      <c r="W38" s="1">
        <f t="shared" si="7"/>
        <v>4200</v>
      </c>
      <c r="X38" s="1">
        <v>42</v>
      </c>
      <c r="Y38" s="1">
        <v>33</v>
      </c>
      <c r="Z38" s="2">
        <f t="shared" si="18"/>
        <v>960</v>
      </c>
      <c r="AA38" s="2">
        <v>7</v>
      </c>
      <c r="AB38" s="2">
        <v>32</v>
      </c>
      <c r="AC38" s="2">
        <f t="shared" ref="AC38:AC45" si="19">AC37+60</f>
        <v>660</v>
      </c>
      <c r="AD38" s="1">
        <v>0</v>
      </c>
      <c r="AE38" s="1"/>
      <c r="AF38" s="1">
        <v>0</v>
      </c>
    </row>
    <row r="39" customHeight="1" spans="1:32">
      <c r="C39" s="1">
        <v>34</v>
      </c>
      <c r="D39" s="1">
        <v>34</v>
      </c>
      <c r="E39" s="1">
        <v>1</v>
      </c>
      <c r="F39" s="1" t="s">
        <v>75</v>
      </c>
      <c r="G39" s="1">
        <v>34</v>
      </c>
      <c r="H39" s="1">
        <f t="shared" si="8"/>
        <v>61880</v>
      </c>
      <c r="I39" s="1">
        <f t="shared" si="0"/>
        <v>17680</v>
      </c>
      <c r="J39" s="1">
        <f t="shared" si="1"/>
        <v>3536000</v>
      </c>
      <c r="K39" s="1">
        <f t="shared" si="2"/>
        <v>204</v>
      </c>
      <c r="L39" s="1">
        <f t="shared" si="3"/>
        <v>136</v>
      </c>
      <c r="M39" s="1">
        <f t="shared" si="4"/>
        <v>102</v>
      </c>
      <c r="N39" s="1">
        <f t="shared" si="5"/>
        <v>170</v>
      </c>
      <c r="O39" s="5">
        <v>34</v>
      </c>
      <c r="P39" s="2">
        <f t="shared" si="16"/>
        <v>110</v>
      </c>
      <c r="Q39" s="1">
        <v>33</v>
      </c>
      <c r="R39" s="1">
        <v>0</v>
      </c>
      <c r="S39" s="1">
        <v>0</v>
      </c>
      <c r="T39" s="5">
        <v>4</v>
      </c>
      <c r="U39" s="5">
        <v>4</v>
      </c>
      <c r="V39" s="1">
        <f t="shared" si="6"/>
        <v>4300</v>
      </c>
      <c r="W39" s="1">
        <f t="shared" si="7"/>
        <v>4300</v>
      </c>
      <c r="X39" s="1">
        <v>43</v>
      </c>
      <c r="Y39" s="1">
        <v>34</v>
      </c>
      <c r="Z39" s="2">
        <f t="shared" si="18"/>
        <v>1040</v>
      </c>
      <c r="AA39" s="2">
        <v>7</v>
      </c>
      <c r="AB39" s="2">
        <v>33</v>
      </c>
      <c r="AC39" s="2">
        <f t="shared" si="19"/>
        <v>720</v>
      </c>
      <c r="AD39" s="1">
        <v>0</v>
      </c>
      <c r="AE39" s="1"/>
      <c r="AF39" s="1">
        <v>0</v>
      </c>
    </row>
    <row r="40" customHeight="1" spans="1:32">
      <c r="C40" s="1">
        <v>35</v>
      </c>
      <c r="D40" s="1">
        <v>35</v>
      </c>
      <c r="E40" s="1">
        <v>1</v>
      </c>
      <c r="F40" s="1" t="s">
        <v>76</v>
      </c>
      <c r="G40" s="1">
        <v>35</v>
      </c>
      <c r="H40" s="1">
        <f t="shared" si="8"/>
        <v>68600</v>
      </c>
      <c r="I40" s="1">
        <f t="shared" si="0"/>
        <v>19600</v>
      </c>
      <c r="J40" s="1">
        <f t="shared" si="1"/>
        <v>3920000</v>
      </c>
      <c r="K40" s="1">
        <f t="shared" si="2"/>
        <v>210</v>
      </c>
      <c r="L40" s="1">
        <f t="shared" si="3"/>
        <v>140</v>
      </c>
      <c r="M40" s="1">
        <f t="shared" si="4"/>
        <v>105</v>
      </c>
      <c r="N40" s="1">
        <f t="shared" si="5"/>
        <v>175</v>
      </c>
      <c r="O40" s="5">
        <v>35</v>
      </c>
      <c r="P40" s="2">
        <f t="shared" si="16"/>
        <v>115</v>
      </c>
      <c r="Q40" s="1">
        <v>34</v>
      </c>
      <c r="R40" s="1">
        <v>0</v>
      </c>
      <c r="S40" s="1">
        <v>0</v>
      </c>
      <c r="T40" s="5">
        <v>4</v>
      </c>
      <c r="U40" s="5">
        <v>4</v>
      </c>
      <c r="V40" s="1">
        <f t="shared" si="6"/>
        <v>4400</v>
      </c>
      <c r="W40" s="1">
        <f t="shared" si="7"/>
        <v>4400</v>
      </c>
      <c r="X40" s="1">
        <v>44</v>
      </c>
      <c r="Y40" s="1">
        <v>35</v>
      </c>
      <c r="Z40" s="2">
        <f t="shared" si="18"/>
        <v>1120</v>
      </c>
      <c r="AA40" s="2">
        <v>7</v>
      </c>
      <c r="AB40" s="2">
        <v>34</v>
      </c>
      <c r="AC40" s="2">
        <f t="shared" si="19"/>
        <v>780</v>
      </c>
      <c r="AD40" s="1">
        <v>0</v>
      </c>
      <c r="AE40" s="1"/>
      <c r="AF40" s="1">
        <v>0</v>
      </c>
    </row>
    <row r="41" s="1" customFormat="1" customHeight="1" spans="1:32">
      <c r="A41" s="2"/>
      <c r="C41" s="1">
        <v>36</v>
      </c>
      <c r="D41" s="1">
        <v>36</v>
      </c>
      <c r="E41" s="1">
        <v>2</v>
      </c>
      <c r="F41" s="1" t="s">
        <v>77</v>
      </c>
      <c r="G41" s="1">
        <v>1</v>
      </c>
      <c r="H41" s="1">
        <f t="shared" si="8"/>
        <v>86400</v>
      </c>
      <c r="I41" s="1">
        <f t="shared" si="0"/>
        <v>21600</v>
      </c>
      <c r="J41" s="1">
        <f t="shared" si="1"/>
        <v>4320000</v>
      </c>
      <c r="K41" s="1">
        <f t="shared" si="2"/>
        <v>216</v>
      </c>
      <c r="L41" s="1">
        <f t="shared" si="3"/>
        <v>144</v>
      </c>
      <c r="M41" s="1">
        <f t="shared" si="4"/>
        <v>108</v>
      </c>
      <c r="N41" s="1">
        <f t="shared" si="5"/>
        <v>180</v>
      </c>
      <c r="O41" s="5">
        <v>36</v>
      </c>
      <c r="P41" s="2">
        <f t="shared" si="16"/>
        <v>120</v>
      </c>
      <c r="Q41" s="1">
        <v>35</v>
      </c>
      <c r="R41" s="1">
        <v>0</v>
      </c>
      <c r="S41" s="1">
        <v>0</v>
      </c>
      <c r="T41" s="5">
        <v>4</v>
      </c>
      <c r="U41" s="5">
        <v>4</v>
      </c>
      <c r="V41" s="1">
        <f t="shared" si="6"/>
        <v>4500</v>
      </c>
      <c r="W41" s="1">
        <f t="shared" si="7"/>
        <v>4500</v>
      </c>
      <c r="X41" s="1">
        <v>45</v>
      </c>
      <c r="Y41" s="1">
        <v>36</v>
      </c>
      <c r="Z41" s="2">
        <f t="shared" si="18"/>
        <v>1200</v>
      </c>
      <c r="AA41" s="2">
        <v>8</v>
      </c>
      <c r="AB41" s="2">
        <v>35</v>
      </c>
      <c r="AC41" s="2">
        <f t="shared" si="19"/>
        <v>840</v>
      </c>
      <c r="AD41" s="1">
        <v>0</v>
      </c>
      <c r="AF41" s="1">
        <v>0</v>
      </c>
    </row>
    <row r="42" s="1" customFormat="1" customHeight="1" spans="1:32">
      <c r="A42" s="2"/>
      <c r="C42" s="1">
        <v>37</v>
      </c>
      <c r="D42" s="1">
        <v>37</v>
      </c>
      <c r="E42" s="1">
        <v>2</v>
      </c>
      <c r="F42" s="1" t="s">
        <v>78</v>
      </c>
      <c r="G42" s="1">
        <v>2</v>
      </c>
      <c r="H42" s="1">
        <f t="shared" si="8"/>
        <v>94720</v>
      </c>
      <c r="I42" s="1">
        <f t="shared" si="0"/>
        <v>23680</v>
      </c>
      <c r="J42" s="1">
        <f t="shared" si="1"/>
        <v>4736000</v>
      </c>
      <c r="K42" s="1">
        <f t="shared" si="2"/>
        <v>222</v>
      </c>
      <c r="L42" s="1">
        <f t="shared" si="3"/>
        <v>148</v>
      </c>
      <c r="M42" s="1">
        <f t="shared" si="4"/>
        <v>111</v>
      </c>
      <c r="N42" s="1">
        <f t="shared" si="5"/>
        <v>185</v>
      </c>
      <c r="O42" s="5">
        <v>37</v>
      </c>
      <c r="P42" s="2">
        <f t="shared" si="16"/>
        <v>125</v>
      </c>
      <c r="Q42" s="1">
        <v>36</v>
      </c>
      <c r="R42" s="1">
        <v>0</v>
      </c>
      <c r="S42" s="1">
        <v>0</v>
      </c>
      <c r="T42" s="5">
        <v>4</v>
      </c>
      <c r="U42" s="5">
        <v>4</v>
      </c>
      <c r="V42" s="1">
        <f t="shared" si="6"/>
        <v>4600</v>
      </c>
      <c r="W42" s="1">
        <f t="shared" si="7"/>
        <v>4600</v>
      </c>
      <c r="X42" s="1">
        <v>46</v>
      </c>
      <c r="Y42" s="1">
        <v>37</v>
      </c>
      <c r="Z42" s="2">
        <f t="shared" si="18"/>
        <v>1280</v>
      </c>
      <c r="AA42" s="2">
        <v>8</v>
      </c>
      <c r="AB42" s="2">
        <v>36</v>
      </c>
      <c r="AC42" s="2">
        <f t="shared" si="19"/>
        <v>900</v>
      </c>
      <c r="AD42" s="1">
        <v>0</v>
      </c>
      <c r="AF42" s="1">
        <v>0</v>
      </c>
    </row>
    <row r="43" s="1" customFormat="1" customHeight="1" spans="1:32">
      <c r="A43" s="2"/>
      <c r="C43" s="1">
        <v>38</v>
      </c>
      <c r="D43" s="1">
        <v>38</v>
      </c>
      <c r="E43" s="1">
        <v>2</v>
      </c>
      <c r="F43" s="1" t="s">
        <v>79</v>
      </c>
      <c r="G43" s="1">
        <v>3</v>
      </c>
      <c r="H43" s="1">
        <f t="shared" si="8"/>
        <v>103360</v>
      </c>
      <c r="I43" s="1">
        <f t="shared" si="0"/>
        <v>25840</v>
      </c>
      <c r="J43" s="1">
        <f t="shared" si="1"/>
        <v>5168000</v>
      </c>
      <c r="K43" s="1">
        <f t="shared" si="2"/>
        <v>228</v>
      </c>
      <c r="L43" s="1">
        <f t="shared" si="3"/>
        <v>152</v>
      </c>
      <c r="M43" s="1">
        <f t="shared" si="4"/>
        <v>114</v>
      </c>
      <c r="N43" s="1">
        <f t="shared" si="5"/>
        <v>190</v>
      </c>
      <c r="O43" s="5">
        <v>38</v>
      </c>
      <c r="P43" s="2">
        <f t="shared" si="16"/>
        <v>130</v>
      </c>
      <c r="Q43" s="1">
        <v>37</v>
      </c>
      <c r="R43" s="1">
        <v>0</v>
      </c>
      <c r="S43" s="1">
        <v>0</v>
      </c>
      <c r="T43" s="5">
        <v>4</v>
      </c>
      <c r="U43" s="5">
        <v>4</v>
      </c>
      <c r="V43" s="1">
        <f t="shared" si="6"/>
        <v>4700</v>
      </c>
      <c r="W43" s="1">
        <f t="shared" si="7"/>
        <v>4700</v>
      </c>
      <c r="X43" s="1">
        <v>47</v>
      </c>
      <c r="Y43" s="1">
        <v>38</v>
      </c>
      <c r="Z43" s="2">
        <f t="shared" si="18"/>
        <v>1360</v>
      </c>
      <c r="AA43" s="2">
        <v>8</v>
      </c>
      <c r="AB43" s="2">
        <v>37</v>
      </c>
      <c r="AC43" s="2">
        <f t="shared" si="19"/>
        <v>960</v>
      </c>
      <c r="AD43" s="1">
        <v>0</v>
      </c>
      <c r="AF43" s="1">
        <v>0</v>
      </c>
    </row>
    <row r="44" s="1" customFormat="1" customHeight="1" spans="1:32">
      <c r="A44" s="2"/>
      <c r="C44" s="1">
        <v>39</v>
      </c>
      <c r="D44" s="1">
        <v>39</v>
      </c>
      <c r="E44" s="1">
        <v>2</v>
      </c>
      <c r="F44" s="1" t="s">
        <v>80</v>
      </c>
      <c r="G44" s="1">
        <v>4</v>
      </c>
      <c r="H44" s="1">
        <f t="shared" si="8"/>
        <v>112320</v>
      </c>
      <c r="I44" s="1">
        <f t="shared" si="0"/>
        <v>28080</v>
      </c>
      <c r="J44" s="1">
        <f t="shared" si="1"/>
        <v>5616000</v>
      </c>
      <c r="K44" s="1">
        <f t="shared" si="2"/>
        <v>234</v>
      </c>
      <c r="L44" s="1">
        <f t="shared" si="3"/>
        <v>156</v>
      </c>
      <c r="M44" s="1">
        <f t="shared" si="4"/>
        <v>117</v>
      </c>
      <c r="N44" s="1">
        <f t="shared" si="5"/>
        <v>195</v>
      </c>
      <c r="O44" s="5">
        <v>39</v>
      </c>
      <c r="P44" s="2">
        <f t="shared" si="16"/>
        <v>135</v>
      </c>
      <c r="Q44" s="1">
        <v>38</v>
      </c>
      <c r="R44" s="1">
        <v>0</v>
      </c>
      <c r="S44" s="1">
        <v>0</v>
      </c>
      <c r="T44" s="5">
        <v>4</v>
      </c>
      <c r="U44" s="5">
        <v>4</v>
      </c>
      <c r="V44" s="1">
        <f t="shared" si="6"/>
        <v>4800</v>
      </c>
      <c r="W44" s="1">
        <f t="shared" si="7"/>
        <v>4800</v>
      </c>
      <c r="X44" s="1">
        <v>48</v>
      </c>
      <c r="Y44" s="1">
        <v>39</v>
      </c>
      <c r="Z44" s="2">
        <f t="shared" si="18"/>
        <v>1440</v>
      </c>
      <c r="AA44" s="2">
        <v>8</v>
      </c>
      <c r="AB44" s="2">
        <v>38</v>
      </c>
      <c r="AC44" s="2">
        <f t="shared" si="19"/>
        <v>1020</v>
      </c>
      <c r="AD44" s="1">
        <v>0</v>
      </c>
      <c r="AF44" s="1">
        <v>0</v>
      </c>
    </row>
    <row r="45" s="1" customFormat="1" customHeight="1" spans="1:32">
      <c r="A45" s="2"/>
      <c r="C45" s="1">
        <v>40</v>
      </c>
      <c r="D45" s="1">
        <v>40</v>
      </c>
      <c r="E45" s="1">
        <v>2</v>
      </c>
      <c r="F45" s="1" t="s">
        <v>81</v>
      </c>
      <c r="G45" s="1">
        <v>5</v>
      </c>
      <c r="H45" s="1">
        <f t="shared" si="8"/>
        <v>121600</v>
      </c>
      <c r="I45" s="1">
        <f t="shared" si="0"/>
        <v>30400</v>
      </c>
      <c r="J45" s="1">
        <f t="shared" si="1"/>
        <v>6080000</v>
      </c>
      <c r="K45" s="1">
        <f t="shared" si="2"/>
        <v>240</v>
      </c>
      <c r="L45" s="1">
        <f t="shared" si="3"/>
        <v>160</v>
      </c>
      <c r="M45" s="1">
        <f t="shared" si="4"/>
        <v>120</v>
      </c>
      <c r="N45" s="1">
        <f t="shared" si="5"/>
        <v>200</v>
      </c>
      <c r="O45" s="5">
        <v>40</v>
      </c>
      <c r="P45" s="2">
        <f t="shared" si="16"/>
        <v>140</v>
      </c>
      <c r="Q45" s="1">
        <v>39</v>
      </c>
      <c r="R45" s="1">
        <v>0</v>
      </c>
      <c r="S45" s="1">
        <v>0</v>
      </c>
      <c r="T45" s="5">
        <v>4</v>
      </c>
      <c r="U45" s="5">
        <v>4</v>
      </c>
      <c r="V45" s="1">
        <f t="shared" si="6"/>
        <v>4900</v>
      </c>
      <c r="W45" s="1">
        <f t="shared" si="7"/>
        <v>4900</v>
      </c>
      <c r="X45" s="1">
        <v>49</v>
      </c>
      <c r="Y45" s="1">
        <v>40</v>
      </c>
      <c r="Z45" s="2">
        <f t="shared" si="18"/>
        <v>1520</v>
      </c>
      <c r="AA45" s="2">
        <v>8</v>
      </c>
      <c r="AB45" s="2">
        <v>39</v>
      </c>
      <c r="AC45" s="2">
        <f t="shared" si="19"/>
        <v>1080</v>
      </c>
      <c r="AD45" s="1">
        <v>0</v>
      </c>
      <c r="AF45" s="1">
        <v>0</v>
      </c>
    </row>
    <row r="46" customHeight="1" spans="1:32">
      <c r="Q46" s="1"/>
      <c r="S46" s="1"/>
      <c r="T46" s="5"/>
      <c r="U46" s="5"/>
    </row>
  </sheetData>
  <dataValidations count="1">
    <dataValidation type="custom" allowBlank="1" showErrorMessage="1" errorTitle="拒绝重复输入" error="当前输入的内容，与本区域的其他单元格内容重复。" sqref="Q3 S3 T3 U3 Q4 S4 T4 U4 Q5 S5 T5 U5 O3:O5 P3:P5 R3:R5 C3:N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2026-04-14T06:21:05Z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