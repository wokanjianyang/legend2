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Z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boss刷新出来的概率</t>
        </r>
      </text>
    </comment>
  </commentList>
</comments>
</file>

<file path=xl/sharedStrings.xml><?xml version="1.0" encoding="utf-8"?>
<sst xmlns="http://schemas.openxmlformats.org/spreadsheetml/2006/main" count="212" uniqueCount="124">
  <si>
    <t>#</t>
  </si>
  <si>
    <t>ID</t>
  </si>
  <si>
    <t>所属地图</t>
  </si>
  <si>
    <t>Layer</t>
  </si>
  <si>
    <t>名称</t>
  </si>
  <si>
    <t>ModelId</t>
  </si>
  <si>
    <t>攻击</t>
  </si>
  <si>
    <t>防御</t>
  </si>
  <si>
    <t>生命</t>
  </si>
  <si>
    <t>DamageIncrea</t>
  </si>
  <si>
    <t>DamageResist</t>
  </si>
  <si>
    <t>CritRate</t>
  </si>
  <si>
    <t>CritDamage</t>
  </si>
  <si>
    <t>MulDamageResit</t>
  </si>
  <si>
    <t>Accuracy</t>
  </si>
  <si>
    <t>Miss</t>
  </si>
  <si>
    <t>CritRateResist</t>
  </si>
  <si>
    <t>Speed</t>
  </si>
  <si>
    <t>MoveSpeed</t>
  </si>
  <si>
    <t>Cd</t>
  </si>
  <si>
    <t>Lucky</t>
  </si>
  <si>
    <t>Curse</t>
  </si>
  <si>
    <t>经验</t>
  </si>
  <si>
    <t>掉落金币</t>
  </si>
  <si>
    <t>Rate</t>
  </si>
  <si>
    <t>SkillIdList</t>
  </si>
  <si>
    <t>RuneCount</t>
  </si>
  <si>
    <t>Id</t>
  </si>
  <si>
    <t>MapId</t>
  </si>
  <si>
    <t>Name</t>
  </si>
  <si>
    <t>Atk</t>
  </si>
  <si>
    <t>Def</t>
  </si>
  <si>
    <t>HP</t>
  </si>
  <si>
    <t>Exp</t>
  </si>
  <si>
    <t>Gold</t>
  </si>
  <si>
    <t>int</t>
  </si>
  <si>
    <t>string</t>
  </si>
  <si>
    <t>long</t>
  </si>
  <si>
    <t>int[]</t>
  </si>
  <si>
    <t>刷新时间</t>
  </si>
  <si>
    <t>双翼狮王</t>
  </si>
  <si>
    <t>6E+6</t>
  </si>
  <si>
    <t>15分钟</t>
  </si>
  <si>
    <t>三头巨鳄</t>
  </si>
  <si>
    <t>10E+7</t>
  </si>
  <si>
    <t>半小时</t>
  </si>
  <si>
    <t>腐尸君主</t>
  </si>
  <si>
    <t>8E+8</t>
  </si>
  <si>
    <t>1小时</t>
  </si>
  <si>
    <t>梦魇鹿神</t>
  </si>
  <si>
    <t>4E+9</t>
  </si>
  <si>
    <t>3002</t>
  </si>
  <si>
    <t>1.5小时</t>
  </si>
  <si>
    <t>不朽骨龙</t>
  </si>
  <si>
    <t>2E+10</t>
  </si>
  <si>
    <t>2002</t>
  </si>
  <si>
    <t>2小时</t>
  </si>
  <si>
    <t>蛮鬃酋长</t>
  </si>
  <si>
    <t>3E+7</t>
  </si>
  <si>
    <t>8E+10</t>
  </si>
  <si>
    <t>1002</t>
  </si>
  <si>
    <t>炎魔领主</t>
  </si>
  <si>
    <t>9E+6</t>
  </si>
  <si>
    <t>1E+8</t>
  </si>
  <si>
    <t>3E+11</t>
  </si>
  <si>
    <t>3002,3003</t>
  </si>
  <si>
    <t>冰霜巨龙</t>
  </si>
  <si>
    <t>2E+7</t>
  </si>
  <si>
    <t>3E+8</t>
  </si>
  <si>
    <t>12E+11</t>
  </si>
  <si>
    <t>2002,2003</t>
  </si>
  <si>
    <t>痛苦女王</t>
  </si>
  <si>
    <t>5E+7</t>
  </si>
  <si>
    <t>9E+8</t>
  </si>
  <si>
    <t>5E+12</t>
  </si>
  <si>
    <t>1002,1003</t>
  </si>
  <si>
    <t>野蛮酋长</t>
  </si>
  <si>
    <t>27E+8</t>
  </si>
  <si>
    <t>16E+12</t>
  </si>
  <si>
    <t>3002,3003,3004</t>
  </si>
  <si>
    <t>终末主宰</t>
  </si>
  <si>
    <t>9E+9</t>
  </si>
  <si>
    <t>13E+13</t>
  </si>
  <si>
    <t>2002,2003,2004</t>
  </si>
  <si>
    <t>毁灭之王</t>
  </si>
  <si>
    <t>30E+9</t>
  </si>
  <si>
    <t>55E+13</t>
  </si>
  <si>
    <t>1002,1003,1004</t>
  </si>
  <si>
    <t>178E+7</t>
  </si>
  <si>
    <t>797E+7</t>
  </si>
  <si>
    <t>167E+13</t>
  </si>
  <si>
    <t>388E+7</t>
  </si>
  <si>
    <t>255E+8</t>
  </si>
  <si>
    <t>632E+13</t>
  </si>
  <si>
    <t>788E+7</t>
  </si>
  <si>
    <t>891E+8</t>
  </si>
  <si>
    <t>238E+14</t>
  </si>
  <si>
    <t>171E+8</t>
  </si>
  <si>
    <t>432E+9</t>
  </si>
  <si>
    <t>900E+14</t>
  </si>
  <si>
    <t>384E+8</t>
  </si>
  <si>
    <t>185E+10</t>
  </si>
  <si>
    <t>338E+15</t>
  </si>
  <si>
    <t>832E+8</t>
  </si>
  <si>
    <t>731E+10</t>
  </si>
  <si>
    <t>127E+16</t>
  </si>
  <si>
    <t>183E+9</t>
  </si>
  <si>
    <t>277E+11</t>
  </si>
  <si>
    <t>477E+16</t>
  </si>
  <si>
    <t>399E+9</t>
  </si>
  <si>
    <t>100E+12</t>
  </si>
  <si>
    <t>178E+17</t>
  </si>
  <si>
    <t>877E+9</t>
  </si>
  <si>
    <t>357E+12</t>
  </si>
  <si>
    <t>662E+17</t>
  </si>
  <si>
    <t>192E+10</t>
  </si>
  <si>
    <t>125E+13</t>
  </si>
  <si>
    <t>245E+18</t>
  </si>
  <si>
    <t>421E+10</t>
  </si>
  <si>
    <t>435E+13</t>
  </si>
  <si>
    <t>915E+18</t>
  </si>
  <si>
    <t>920E+10</t>
  </si>
  <si>
    <t>149E+14</t>
  </si>
  <si>
    <t>341E+19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</si>
</sst>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NumberFormat="1" applyFont="1"/>
    <xf numFmtId="176" fontId="1" fillId="0" borderId="0" xfId="0" applyNumberFormat="1" applyFont="1"/>
    <xf numFmtId="0" fontId="2" fillId="2" borderId="0" xfId="0" applyFont="1" applyFill="1" applyAlignment="1">
      <alignment horizontal="center"/>
    </xf>
    <xf numFmtId="0" fontId="1" fillId="0" borderId="0" xfId="0" applyNumberFormat="1" applyFont="1" applyFill="1"/>
    <xf numFmtId="0" fontId="1" fillId="3" borderId="0" xfId="0" applyFont="1" applyFill="1"/>
    <xf numFmtId="0" fontId="1" fillId="0" borderId="0" xfId="0" applyFont="1" quotePrefix="1"/>
    <xf numFmtId="0" fontId="1" fillId="0" borderId="0" xfId="0" applyNumberFormat="1" applyFont="1" quotePrefix="1"/>
    <xf numFmtId="0" fontId="1" fillId="3" borderId="0" xfId="0" applyFont="1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0"/>
  <sheetViews>
    <sheetView tabSelected="1" workbookViewId="0">
      <selection activeCell="O33" sqref="O33"/>
    </sheetView>
  </sheetViews>
  <sheetFormatPr defaultColWidth="9" defaultRowHeight="18" customHeight="1"/>
  <cols>
    <col min="1" max="1" width="6.875" style="2" customWidth="1"/>
    <col min="2" max="2" width="9" style="2"/>
    <col min="3" max="3" width="9.875" style="1" customWidth="1"/>
    <col min="4" max="4" width="7.625" style="1" customWidth="1"/>
    <col min="5" max="5" width="6.875" style="1" customWidth="1"/>
    <col min="6" max="6" width="12.125" style="1" customWidth="1"/>
    <col min="7" max="7" width="9.58333333333333" style="1" customWidth="1"/>
    <col min="8" max="8" width="15.4166666666667" style="2" customWidth="1"/>
    <col min="9" max="9" width="12.1666666666667" style="2" customWidth="1"/>
    <col min="10" max="11" width="11" style="2" customWidth="1"/>
    <col min="12" max="12" width="11.1666666666667" style="2" customWidth="1"/>
    <col min="13" max="13" width="10" style="2" customWidth="1"/>
    <col min="14" max="15" width="10.25" style="2" customWidth="1"/>
    <col min="16" max="16" width="8.08333333333333" style="2" customWidth="1"/>
    <col min="17" max="17" width="9.91666666666667" style="2" customWidth="1"/>
    <col min="18" max="18" width="11.5833333333333" style="2" customWidth="1"/>
    <col min="19" max="19" width="7.5" style="2" customWidth="1"/>
    <col min="20" max="21" width="8.75" style="2" customWidth="1"/>
    <col min="22" max="22" width="7.50833333333333" style="2" customWidth="1"/>
    <col min="23" max="23" width="8.33333333333333" style="2" customWidth="1"/>
    <col min="24" max="24" width="11.6666666666667" style="2" customWidth="1"/>
    <col min="25" max="25" width="11.1666666666667" style="2" customWidth="1"/>
    <col min="26" max="28" width="14.25" style="2" customWidth="1"/>
    <col min="29" max="29" width="11.8333333333333" style="2" customWidth="1"/>
    <col min="30" max="16384" width="9" style="2"/>
  </cols>
  <sheetData>
    <row r="1" s="1" customFormat="1" customHeight="1" spans="1:29">
      <c r="A1" s="2"/>
      <c r="B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 t="s">
        <v>0</v>
      </c>
    </row>
    <row r="2" s="1" customFormat="1" customHeight="1" spans="1:29">
      <c r="A2" s="2"/>
      <c r="B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1" t="s">
        <v>0</v>
      </c>
    </row>
    <row r="3" s="1" customFormat="1" customHeight="1" spans="1:29">
      <c r="A3" s="2"/>
      <c r="B3" s="2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4" t="s">
        <v>18</v>
      </c>
      <c r="U3" s="4" t="s">
        <v>19</v>
      </c>
      <c r="V3" s="4" t="s">
        <v>20</v>
      </c>
      <c r="W3" s="4" t="s">
        <v>21</v>
      </c>
      <c r="X3" s="4" t="s">
        <v>22</v>
      </c>
      <c r="Y3" s="4" t="s">
        <v>23</v>
      </c>
      <c r="Z3" s="4" t="s">
        <v>24</v>
      </c>
      <c r="AA3" s="4" t="s">
        <v>25</v>
      </c>
      <c r="AB3" s="4" t="s">
        <v>26</v>
      </c>
    </row>
    <row r="4" s="1" customFormat="1" customHeight="1" spans="1:29">
      <c r="A4" s="2"/>
      <c r="B4" s="2"/>
      <c r="C4" s="4" t="s">
        <v>27</v>
      </c>
      <c r="D4" s="4" t="s">
        <v>28</v>
      </c>
      <c r="E4" s="4" t="s">
        <v>3</v>
      </c>
      <c r="F4" s="4" t="s">
        <v>29</v>
      </c>
      <c r="G4" s="4" t="s">
        <v>5</v>
      </c>
      <c r="H4" s="4" t="s">
        <v>30</v>
      </c>
      <c r="I4" s="4" t="s">
        <v>31</v>
      </c>
      <c r="J4" s="4" t="s">
        <v>32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4" t="s">
        <v>15</v>
      </c>
      <c r="R4" s="4" t="s">
        <v>16</v>
      </c>
      <c r="S4" s="4" t="s">
        <v>17</v>
      </c>
      <c r="T4" s="4" t="s">
        <v>18</v>
      </c>
      <c r="U4" s="4" t="s">
        <v>19</v>
      </c>
      <c r="V4" s="4" t="s">
        <v>20</v>
      </c>
      <c r="W4" s="4" t="s">
        <v>21</v>
      </c>
      <c r="X4" s="4" t="s">
        <v>33</v>
      </c>
      <c r="Y4" s="4" t="s">
        <v>34</v>
      </c>
      <c r="Z4" s="4" t="s">
        <v>24</v>
      </c>
      <c r="AA4" s="4" t="s">
        <v>25</v>
      </c>
      <c r="AB4" s="4" t="s">
        <v>26</v>
      </c>
    </row>
    <row r="5" s="1" customFormat="1" customHeight="1" spans="1:29">
      <c r="A5" s="2"/>
      <c r="B5" s="2"/>
      <c r="C5" s="4" t="s">
        <v>35</v>
      </c>
      <c r="D5" s="4" t="s">
        <v>35</v>
      </c>
      <c r="E5" s="4" t="s">
        <v>35</v>
      </c>
      <c r="F5" s="4" t="s">
        <v>36</v>
      </c>
      <c r="G5" s="4" t="s">
        <v>35</v>
      </c>
      <c r="H5" s="4" t="s">
        <v>36</v>
      </c>
      <c r="I5" s="4" t="s">
        <v>36</v>
      </c>
      <c r="J5" s="4" t="s">
        <v>36</v>
      </c>
      <c r="K5" s="4" t="s">
        <v>35</v>
      </c>
      <c r="L5" s="4" t="s">
        <v>35</v>
      </c>
      <c r="M5" s="4" t="s">
        <v>35</v>
      </c>
      <c r="N5" s="4" t="s">
        <v>35</v>
      </c>
      <c r="O5" s="4" t="s">
        <v>35</v>
      </c>
      <c r="P5" s="4" t="s">
        <v>35</v>
      </c>
      <c r="Q5" s="4" t="s">
        <v>35</v>
      </c>
      <c r="R5" s="4" t="s">
        <v>35</v>
      </c>
      <c r="S5" s="4" t="s">
        <v>35</v>
      </c>
      <c r="T5" s="4" t="s">
        <v>35</v>
      </c>
      <c r="U5" s="4" t="s">
        <v>35</v>
      </c>
      <c r="V5" s="4" t="s">
        <v>35</v>
      </c>
      <c r="W5" s="4" t="s">
        <v>35</v>
      </c>
      <c r="X5" s="4" t="s">
        <v>37</v>
      </c>
      <c r="Y5" s="4" t="s">
        <v>37</v>
      </c>
      <c r="Z5" s="4" t="s">
        <v>35</v>
      </c>
      <c r="AA5" s="4" t="s">
        <v>38</v>
      </c>
      <c r="AB5" s="4" t="s">
        <v>35</v>
      </c>
      <c r="AC5" s="1" t="s">
        <v>39</v>
      </c>
    </row>
    <row r="6" s="1" customFormat="1" customHeight="1" spans="1:29">
      <c r="C6" s="1">
        <v>1</v>
      </c>
      <c r="D6" s="1">
        <v>0</v>
      </c>
      <c r="E6" s="1">
        <v>1</v>
      </c>
      <c r="F6" s="1" t="s">
        <v>40</v>
      </c>
      <c r="G6" s="1">
        <v>1</v>
      </c>
      <c r="H6" s="1">
        <v>10500</v>
      </c>
      <c r="I6" s="1">
        <v>10000</v>
      </c>
      <c r="J6" s="7" t="s">
        <v>41</v>
      </c>
      <c r="K6" s="1">
        <v>50</v>
      </c>
      <c r="L6" s="1">
        <v>30</v>
      </c>
      <c r="M6" s="1">
        <v>15</v>
      </c>
      <c r="N6" s="1">
        <v>30</v>
      </c>
      <c r="P6" s="5">
        <v>10</v>
      </c>
      <c r="Q6" s="5">
        <v>20</v>
      </c>
      <c r="R6" s="1">
        <v>0</v>
      </c>
      <c r="S6" s="1">
        <v>0</v>
      </c>
      <c r="T6" s="1">
        <v>0</v>
      </c>
      <c r="U6" s="1">
        <v>0</v>
      </c>
      <c r="V6" s="5">
        <v>1</v>
      </c>
      <c r="W6" s="5">
        <v>1</v>
      </c>
      <c r="X6" s="1">
        <v>5000</v>
      </c>
      <c r="Y6" s="1">
        <v>5000</v>
      </c>
      <c r="Z6" s="1">
        <v>4500</v>
      </c>
      <c r="AC6" s="1" t="s">
        <v>42</v>
      </c>
    </row>
    <row r="7" customHeight="1" spans="1:29">
      <c r="C7" s="1">
        <v>2</v>
      </c>
      <c r="D7" s="1">
        <v>0</v>
      </c>
      <c r="E7" s="1">
        <v>1</v>
      </c>
      <c r="F7" s="1" t="s">
        <v>43</v>
      </c>
      <c r="G7" s="1">
        <v>2</v>
      </c>
      <c r="H7" s="1">
        <v>70000</v>
      </c>
      <c r="I7" s="1">
        <v>100000</v>
      </c>
      <c r="J7" s="7" t="s">
        <v>44</v>
      </c>
      <c r="K7" s="1">
        <f t="shared" ref="K7:K17" si="0">K6+25</f>
        <v>75</v>
      </c>
      <c r="L7" s="1">
        <f t="shared" ref="L7:L17" si="1">L6+15</f>
        <v>45</v>
      </c>
      <c r="M7" s="1">
        <f t="shared" ref="M7:M17" si="2">M6+5</f>
        <v>20</v>
      </c>
      <c r="N7" s="1">
        <f t="shared" ref="N7:N17" si="3">N6+10</f>
        <v>40</v>
      </c>
      <c r="O7" s="1"/>
      <c r="P7" s="1">
        <f t="shared" ref="P7:P17" si="4">P6+5</f>
        <v>15</v>
      </c>
      <c r="Q7" s="1">
        <f t="shared" ref="Q7:Q17" si="5">Q6+5</f>
        <v>25</v>
      </c>
      <c r="R7" s="1">
        <v>0</v>
      </c>
      <c r="S7" s="1">
        <v>0</v>
      </c>
      <c r="T7" s="1">
        <v>0</v>
      </c>
      <c r="U7" s="1">
        <v>0</v>
      </c>
      <c r="V7" s="5">
        <v>2</v>
      </c>
      <c r="W7" s="5">
        <v>2</v>
      </c>
      <c r="X7" s="1">
        <v>8000</v>
      </c>
      <c r="Y7" s="1">
        <v>8000</v>
      </c>
      <c r="Z7" s="1">
        <v>6000</v>
      </c>
      <c r="AA7" s="1"/>
      <c r="AB7" s="1"/>
      <c r="AC7" s="2" t="s">
        <v>45</v>
      </c>
    </row>
    <row r="8" customHeight="1" spans="1:29">
      <c r="C8" s="1">
        <v>3</v>
      </c>
      <c r="D8" s="1">
        <v>0</v>
      </c>
      <c r="E8" s="1">
        <v>1</v>
      </c>
      <c r="F8" s="1" t="s">
        <v>46</v>
      </c>
      <c r="G8" s="1">
        <v>3</v>
      </c>
      <c r="H8" s="1">
        <v>225000</v>
      </c>
      <c r="I8" s="1">
        <v>400000</v>
      </c>
      <c r="J8" s="7" t="s">
        <v>47</v>
      </c>
      <c r="K8" s="1">
        <f t="shared" si="0"/>
        <v>100</v>
      </c>
      <c r="L8" s="1">
        <f t="shared" si="1"/>
        <v>60</v>
      </c>
      <c r="M8" s="1">
        <f t="shared" si="2"/>
        <v>25</v>
      </c>
      <c r="N8" s="1">
        <f t="shared" si="3"/>
        <v>50</v>
      </c>
      <c r="O8" s="1"/>
      <c r="P8" s="1">
        <f t="shared" si="4"/>
        <v>20</v>
      </c>
      <c r="Q8" s="1">
        <f t="shared" si="5"/>
        <v>30</v>
      </c>
      <c r="R8" s="1">
        <v>0</v>
      </c>
      <c r="S8" s="1">
        <v>0</v>
      </c>
      <c r="T8" s="1">
        <v>0</v>
      </c>
      <c r="U8" s="1">
        <v>0</v>
      </c>
      <c r="V8" s="5">
        <v>3</v>
      </c>
      <c r="W8" s="5">
        <v>3</v>
      </c>
      <c r="X8" s="1">
        <v>10000</v>
      </c>
      <c r="Y8" s="1">
        <v>10000</v>
      </c>
      <c r="Z8" s="1">
        <v>8000</v>
      </c>
      <c r="AA8" s="1"/>
      <c r="AB8" s="1"/>
      <c r="AC8" s="2" t="s">
        <v>48</v>
      </c>
    </row>
    <row r="9" customHeight="1" spans="1:29">
      <c r="C9" s="1">
        <v>4</v>
      </c>
      <c r="D9" s="1">
        <v>0</v>
      </c>
      <c r="E9" s="1">
        <v>1</v>
      </c>
      <c r="F9" s="1" t="s">
        <v>49</v>
      </c>
      <c r="G9" s="1">
        <v>4</v>
      </c>
      <c r="H9" s="1">
        <v>850000</v>
      </c>
      <c r="I9" s="1">
        <v>2000000</v>
      </c>
      <c r="J9" s="7" t="s">
        <v>50</v>
      </c>
      <c r="K9" s="1">
        <f t="shared" si="0"/>
        <v>125</v>
      </c>
      <c r="L9" s="1">
        <f t="shared" si="1"/>
        <v>75</v>
      </c>
      <c r="M9" s="1">
        <f t="shared" si="2"/>
        <v>30</v>
      </c>
      <c r="N9" s="1">
        <f t="shared" si="3"/>
        <v>60</v>
      </c>
      <c r="O9" s="1"/>
      <c r="P9" s="1">
        <f t="shared" si="4"/>
        <v>25</v>
      </c>
      <c r="Q9" s="1">
        <f t="shared" si="5"/>
        <v>35</v>
      </c>
      <c r="R9" s="1">
        <v>0</v>
      </c>
      <c r="S9" s="1">
        <v>0</v>
      </c>
      <c r="T9" s="1">
        <v>0</v>
      </c>
      <c r="U9" s="1">
        <v>0</v>
      </c>
      <c r="V9" s="5">
        <v>4</v>
      </c>
      <c r="W9" s="5">
        <v>4</v>
      </c>
      <c r="X9" s="1">
        <v>15000</v>
      </c>
      <c r="Y9" s="1">
        <v>15000</v>
      </c>
      <c r="Z9" s="1">
        <v>10000</v>
      </c>
      <c r="AA9" s="7" t="s">
        <v>51</v>
      </c>
      <c r="AB9" s="1"/>
      <c r="AC9" s="2" t="s">
        <v>52</v>
      </c>
    </row>
    <row r="10" customHeight="1" spans="1:29">
      <c r="C10" s="1">
        <v>5</v>
      </c>
      <c r="D10" s="1">
        <v>0</v>
      </c>
      <c r="E10" s="1">
        <v>1</v>
      </c>
      <c r="F10" s="1" t="s">
        <v>53</v>
      </c>
      <c r="G10" s="1">
        <v>5</v>
      </c>
      <c r="H10" s="1">
        <v>1000000</v>
      </c>
      <c r="I10" s="7" t="s">
        <v>41</v>
      </c>
      <c r="J10" s="7" t="s">
        <v>54</v>
      </c>
      <c r="K10" s="1">
        <f t="shared" si="0"/>
        <v>150</v>
      </c>
      <c r="L10" s="1">
        <f t="shared" si="1"/>
        <v>90</v>
      </c>
      <c r="M10" s="1">
        <f t="shared" si="2"/>
        <v>35</v>
      </c>
      <c r="N10" s="1">
        <f t="shared" si="3"/>
        <v>70</v>
      </c>
      <c r="O10" s="1"/>
      <c r="P10" s="1">
        <f t="shared" si="4"/>
        <v>30</v>
      </c>
      <c r="Q10" s="1">
        <f t="shared" si="5"/>
        <v>40</v>
      </c>
      <c r="R10" s="1">
        <v>0</v>
      </c>
      <c r="S10" s="1">
        <v>0</v>
      </c>
      <c r="T10" s="1">
        <v>0</v>
      </c>
      <c r="U10" s="1">
        <v>0</v>
      </c>
      <c r="V10" s="5">
        <v>5</v>
      </c>
      <c r="W10" s="5">
        <v>5</v>
      </c>
      <c r="X10" s="1">
        <v>20000</v>
      </c>
      <c r="Y10" s="1">
        <v>20000</v>
      </c>
      <c r="Z10" s="1">
        <v>12000</v>
      </c>
      <c r="AA10" s="7" t="s">
        <v>55</v>
      </c>
      <c r="AB10" s="1"/>
      <c r="AC10" s="2" t="s">
        <v>56</v>
      </c>
    </row>
    <row r="11" customHeight="1" spans="1:29">
      <c r="C11" s="1">
        <v>6</v>
      </c>
      <c r="D11" s="1">
        <v>0</v>
      </c>
      <c r="E11" s="1">
        <v>1</v>
      </c>
      <c r="F11" s="1" t="s">
        <v>57</v>
      </c>
      <c r="G11" s="1">
        <v>6</v>
      </c>
      <c r="H11" s="1">
        <v>3000000</v>
      </c>
      <c r="I11" s="7" t="s">
        <v>58</v>
      </c>
      <c r="J11" s="7" t="s">
        <v>59</v>
      </c>
      <c r="K11" s="1">
        <f t="shared" si="0"/>
        <v>175</v>
      </c>
      <c r="L11" s="1">
        <f t="shared" si="1"/>
        <v>105</v>
      </c>
      <c r="M11" s="1">
        <f t="shared" si="2"/>
        <v>40</v>
      </c>
      <c r="N11" s="1">
        <f t="shared" si="3"/>
        <v>80</v>
      </c>
      <c r="O11" s="1"/>
      <c r="P11" s="1">
        <f t="shared" si="4"/>
        <v>35</v>
      </c>
      <c r="Q11" s="1">
        <f t="shared" si="5"/>
        <v>45</v>
      </c>
      <c r="R11" s="1">
        <v>0</v>
      </c>
      <c r="S11" s="1">
        <v>0</v>
      </c>
      <c r="T11" s="1">
        <v>0</v>
      </c>
      <c r="U11" s="1">
        <v>0</v>
      </c>
      <c r="V11" s="5">
        <v>6</v>
      </c>
      <c r="W11" s="5">
        <v>6</v>
      </c>
      <c r="X11" s="1">
        <v>25000</v>
      </c>
      <c r="Y11" s="1">
        <v>25000</v>
      </c>
      <c r="Z11" s="1">
        <v>14000</v>
      </c>
      <c r="AA11" s="8" t="s">
        <v>60</v>
      </c>
      <c r="AB11" s="1"/>
      <c r="AC11" s="2" t="s">
        <v>56</v>
      </c>
    </row>
    <row r="12" customHeight="1" spans="1:29">
      <c r="C12" s="1">
        <v>7</v>
      </c>
      <c r="D12" s="1">
        <v>0</v>
      </c>
      <c r="E12" s="1">
        <v>1</v>
      </c>
      <c r="F12" s="1" t="s">
        <v>61</v>
      </c>
      <c r="G12" s="1">
        <v>7</v>
      </c>
      <c r="H12" s="7" t="s">
        <v>62</v>
      </c>
      <c r="I12" s="9" t="s">
        <v>63</v>
      </c>
      <c r="J12" s="9" t="s">
        <v>64</v>
      </c>
      <c r="K12" s="1">
        <f t="shared" si="0"/>
        <v>200</v>
      </c>
      <c r="L12" s="1">
        <f t="shared" si="1"/>
        <v>120</v>
      </c>
      <c r="M12" s="1">
        <f t="shared" si="2"/>
        <v>45</v>
      </c>
      <c r="N12" s="1">
        <f t="shared" si="3"/>
        <v>90</v>
      </c>
      <c r="O12" s="1"/>
      <c r="P12" s="1">
        <f t="shared" si="4"/>
        <v>40</v>
      </c>
      <c r="Q12" s="1">
        <f t="shared" si="5"/>
        <v>50</v>
      </c>
      <c r="R12" s="1">
        <v>0</v>
      </c>
      <c r="S12" s="1">
        <v>0</v>
      </c>
      <c r="T12" s="1">
        <v>0</v>
      </c>
      <c r="U12" s="1">
        <v>0</v>
      </c>
      <c r="V12" s="5">
        <v>7</v>
      </c>
      <c r="W12" s="5">
        <v>7</v>
      </c>
      <c r="X12" s="1">
        <v>30000</v>
      </c>
      <c r="Y12" s="1">
        <v>30000</v>
      </c>
      <c r="Z12" s="1">
        <v>16000</v>
      </c>
      <c r="AA12" s="7" t="s">
        <v>65</v>
      </c>
      <c r="AB12" s="1"/>
      <c r="AC12" s="2" t="s">
        <v>56</v>
      </c>
    </row>
    <row r="13" customHeight="1" spans="1:29">
      <c r="C13" s="1">
        <v>8</v>
      </c>
      <c r="D13" s="1">
        <v>0</v>
      </c>
      <c r="E13" s="1">
        <v>1</v>
      </c>
      <c r="F13" s="1" t="s">
        <v>66</v>
      </c>
      <c r="G13" s="1">
        <v>8</v>
      </c>
      <c r="H13" s="7" t="s">
        <v>67</v>
      </c>
      <c r="I13" s="7" t="s">
        <v>68</v>
      </c>
      <c r="J13" s="7" t="s">
        <v>69</v>
      </c>
      <c r="K13" s="1">
        <f t="shared" si="0"/>
        <v>225</v>
      </c>
      <c r="L13" s="1">
        <f t="shared" si="1"/>
        <v>135</v>
      </c>
      <c r="M13" s="1">
        <f t="shared" si="2"/>
        <v>50</v>
      </c>
      <c r="N13" s="1">
        <f t="shared" si="3"/>
        <v>100</v>
      </c>
      <c r="O13" s="1"/>
      <c r="P13" s="1">
        <f t="shared" si="4"/>
        <v>45</v>
      </c>
      <c r="Q13" s="1">
        <f t="shared" si="5"/>
        <v>55</v>
      </c>
      <c r="R13" s="1">
        <v>0</v>
      </c>
      <c r="S13" s="1">
        <v>0</v>
      </c>
      <c r="T13" s="1">
        <v>0</v>
      </c>
      <c r="U13" s="1">
        <v>0</v>
      </c>
      <c r="V13" s="5">
        <v>8</v>
      </c>
      <c r="W13" s="5">
        <v>8</v>
      </c>
      <c r="X13" s="1">
        <v>40000</v>
      </c>
      <c r="Y13" s="1">
        <v>40000</v>
      </c>
      <c r="Z13" s="1">
        <v>18000</v>
      </c>
      <c r="AA13" s="7" t="s">
        <v>70</v>
      </c>
      <c r="AB13" s="1"/>
      <c r="AC13" s="2" t="s">
        <v>56</v>
      </c>
    </row>
    <row r="14" customHeight="1" spans="1:29">
      <c r="C14" s="1">
        <v>9</v>
      </c>
      <c r="D14" s="1">
        <v>0</v>
      </c>
      <c r="E14" s="1">
        <v>1</v>
      </c>
      <c r="F14" s="1" t="s">
        <v>71</v>
      </c>
      <c r="G14" s="1">
        <v>9</v>
      </c>
      <c r="H14" s="7" t="s">
        <v>72</v>
      </c>
      <c r="I14" s="7" t="s">
        <v>73</v>
      </c>
      <c r="J14" s="7" t="s">
        <v>74</v>
      </c>
      <c r="K14" s="1">
        <f t="shared" si="0"/>
        <v>250</v>
      </c>
      <c r="L14" s="1">
        <f t="shared" si="1"/>
        <v>150</v>
      </c>
      <c r="M14" s="1">
        <f t="shared" si="2"/>
        <v>55</v>
      </c>
      <c r="N14" s="1">
        <f t="shared" si="3"/>
        <v>110</v>
      </c>
      <c r="O14" s="1"/>
      <c r="P14" s="1">
        <f t="shared" si="4"/>
        <v>50</v>
      </c>
      <c r="Q14" s="1">
        <f t="shared" si="5"/>
        <v>60</v>
      </c>
      <c r="R14" s="1">
        <v>0</v>
      </c>
      <c r="S14" s="1">
        <v>0</v>
      </c>
      <c r="T14" s="1">
        <v>0</v>
      </c>
      <c r="U14" s="1">
        <v>0</v>
      </c>
      <c r="V14" s="5">
        <v>9</v>
      </c>
      <c r="W14" s="5">
        <v>9</v>
      </c>
      <c r="X14" s="1">
        <v>50000</v>
      </c>
      <c r="Y14" s="1">
        <v>50000</v>
      </c>
      <c r="Z14" s="1">
        <v>18000</v>
      </c>
      <c r="AA14" s="8" t="s">
        <v>75</v>
      </c>
      <c r="AB14" s="1"/>
      <c r="AC14" s="2" t="s">
        <v>56</v>
      </c>
    </row>
    <row r="15" customHeight="1" spans="1:29">
      <c r="C15" s="1">
        <v>10</v>
      </c>
      <c r="D15" s="1">
        <v>0</v>
      </c>
      <c r="E15" s="1">
        <v>1</v>
      </c>
      <c r="F15" s="1" t="s">
        <v>76</v>
      </c>
      <c r="G15" s="1">
        <v>10</v>
      </c>
      <c r="H15" s="7" t="s">
        <v>63</v>
      </c>
      <c r="I15" s="7" t="s">
        <v>77</v>
      </c>
      <c r="J15" s="7" t="s">
        <v>78</v>
      </c>
      <c r="K15" s="1">
        <f t="shared" si="0"/>
        <v>275</v>
      </c>
      <c r="L15" s="1">
        <f t="shared" si="1"/>
        <v>165</v>
      </c>
      <c r="M15" s="1">
        <f t="shared" si="2"/>
        <v>60</v>
      </c>
      <c r="N15" s="1">
        <f t="shared" si="3"/>
        <v>120</v>
      </c>
      <c r="O15" s="1"/>
      <c r="P15" s="1">
        <f t="shared" si="4"/>
        <v>55</v>
      </c>
      <c r="Q15" s="1">
        <f t="shared" si="5"/>
        <v>65</v>
      </c>
      <c r="R15" s="1">
        <v>0</v>
      </c>
      <c r="S15" s="1">
        <v>0</v>
      </c>
      <c r="T15" s="1">
        <v>0</v>
      </c>
      <c r="U15" s="1">
        <v>0</v>
      </c>
      <c r="V15" s="5">
        <v>10</v>
      </c>
      <c r="W15" s="5">
        <v>10</v>
      </c>
      <c r="X15" s="1">
        <v>60000</v>
      </c>
      <c r="Y15" s="1">
        <v>60000</v>
      </c>
      <c r="Z15" s="1">
        <v>18000</v>
      </c>
      <c r="AA15" s="7" t="s">
        <v>79</v>
      </c>
      <c r="AB15" s="1"/>
      <c r="AC15" s="2" t="s">
        <v>56</v>
      </c>
    </row>
    <row r="16" customHeight="1" spans="1:29">
      <c r="C16" s="1">
        <v>11</v>
      </c>
      <c r="D16" s="1">
        <v>0</v>
      </c>
      <c r="E16" s="1">
        <v>1</v>
      </c>
      <c r="F16" s="1" t="s">
        <v>80</v>
      </c>
      <c r="G16" s="1">
        <v>11</v>
      </c>
      <c r="H16" s="7" t="s">
        <v>68</v>
      </c>
      <c r="I16" s="7" t="s">
        <v>81</v>
      </c>
      <c r="J16" s="7" t="s">
        <v>82</v>
      </c>
      <c r="K16" s="1">
        <f t="shared" si="0"/>
        <v>300</v>
      </c>
      <c r="L16" s="1">
        <f t="shared" si="1"/>
        <v>180</v>
      </c>
      <c r="M16" s="1">
        <f t="shared" si="2"/>
        <v>65</v>
      </c>
      <c r="N16" s="1">
        <f t="shared" si="3"/>
        <v>130</v>
      </c>
      <c r="O16" s="1"/>
      <c r="P16" s="1">
        <f t="shared" si="4"/>
        <v>60</v>
      </c>
      <c r="Q16" s="1">
        <f t="shared" si="5"/>
        <v>70</v>
      </c>
      <c r="R16" s="1">
        <v>0</v>
      </c>
      <c r="S16" s="1">
        <v>0</v>
      </c>
      <c r="T16" s="1">
        <v>0</v>
      </c>
      <c r="U16" s="1">
        <v>0</v>
      </c>
      <c r="V16" s="5">
        <v>11</v>
      </c>
      <c r="W16" s="5">
        <v>11</v>
      </c>
      <c r="X16" s="1">
        <v>70000</v>
      </c>
      <c r="Y16" s="1">
        <v>70000</v>
      </c>
      <c r="Z16" s="1">
        <v>18000</v>
      </c>
      <c r="AA16" s="7" t="s">
        <v>83</v>
      </c>
      <c r="AB16" s="1"/>
      <c r="AC16" s="2" t="s">
        <v>56</v>
      </c>
    </row>
    <row r="17" customHeight="1" spans="3:29">
      <c r="C17" s="1">
        <v>12</v>
      </c>
      <c r="D17" s="1">
        <v>0</v>
      </c>
      <c r="E17" s="1">
        <v>1</v>
      </c>
      <c r="F17" s="1" t="s">
        <v>84</v>
      </c>
      <c r="G17" s="1">
        <v>12</v>
      </c>
      <c r="H17" s="7" t="s">
        <v>73</v>
      </c>
      <c r="I17" s="7" t="s">
        <v>85</v>
      </c>
      <c r="J17" s="7" t="s">
        <v>86</v>
      </c>
      <c r="K17" s="1">
        <f t="shared" si="0"/>
        <v>325</v>
      </c>
      <c r="L17" s="1">
        <f t="shared" si="1"/>
        <v>195</v>
      </c>
      <c r="M17" s="1">
        <f t="shared" si="2"/>
        <v>70</v>
      </c>
      <c r="N17" s="1">
        <f t="shared" si="3"/>
        <v>140</v>
      </c>
      <c r="O17" s="1"/>
      <c r="P17" s="1">
        <f t="shared" si="4"/>
        <v>65</v>
      </c>
      <c r="Q17" s="1">
        <f t="shared" si="5"/>
        <v>75</v>
      </c>
      <c r="R17" s="1">
        <v>0</v>
      </c>
      <c r="S17" s="1">
        <v>0</v>
      </c>
      <c r="T17" s="1">
        <v>0</v>
      </c>
      <c r="U17" s="1">
        <v>0</v>
      </c>
      <c r="V17" s="5">
        <v>12</v>
      </c>
      <c r="W17" s="5">
        <v>12</v>
      </c>
      <c r="X17" s="1">
        <v>80000</v>
      </c>
      <c r="Y17" s="1">
        <v>80000</v>
      </c>
      <c r="Z17" s="1">
        <v>18000</v>
      </c>
      <c r="AA17" s="8" t="s">
        <v>87</v>
      </c>
      <c r="AB17" s="1"/>
      <c r="AC17" s="2" t="s">
        <v>56</v>
      </c>
    </row>
    <row r="18" customHeight="1" spans="3:29">
      <c r="R18" s="1"/>
      <c r="T18" s="1"/>
      <c r="U18" s="1"/>
      <c r="V18" s="5"/>
      <c r="W18" s="5"/>
    </row>
    <row r="19" customHeight="1" spans="3:29">
      <c r="C19" s="1">
        <v>13</v>
      </c>
      <c r="D19" s="1">
        <v>0</v>
      </c>
      <c r="E19" s="1">
        <v>2</v>
      </c>
      <c r="F19" s="1" t="s">
        <v>40</v>
      </c>
      <c r="G19" s="1">
        <v>1</v>
      </c>
      <c r="H19" s="7" t="s">
        <v>88</v>
      </c>
      <c r="I19" s="7" t="s">
        <v>89</v>
      </c>
      <c r="J19" s="7" t="s">
        <v>90</v>
      </c>
      <c r="K19" s="1">
        <v>400</v>
      </c>
      <c r="L19" s="1">
        <v>250</v>
      </c>
      <c r="M19" s="1">
        <v>75</v>
      </c>
      <c r="N19" s="1">
        <v>300</v>
      </c>
      <c r="O19" s="1"/>
      <c r="P19" s="1">
        <v>78</v>
      </c>
      <c r="Q19" s="1">
        <v>80</v>
      </c>
      <c r="R19" s="1">
        <v>13</v>
      </c>
      <c r="S19" s="1">
        <v>0</v>
      </c>
      <c r="T19" s="1">
        <v>0</v>
      </c>
      <c r="U19" s="1">
        <v>0</v>
      </c>
      <c r="V19" s="5">
        <v>13</v>
      </c>
      <c r="W19" s="5">
        <v>13</v>
      </c>
      <c r="X19" s="1">
        <v>90000</v>
      </c>
      <c r="Y19" s="1">
        <v>90000</v>
      </c>
      <c r="Z19" s="1">
        <v>18000</v>
      </c>
      <c r="AA19" s="7" t="s">
        <v>79</v>
      </c>
      <c r="AB19" s="1"/>
      <c r="AC19" s="2" t="s">
        <v>56</v>
      </c>
    </row>
    <row r="20" customHeight="1" spans="3:29">
      <c r="C20" s="1">
        <v>14</v>
      </c>
      <c r="D20" s="1">
        <v>0</v>
      </c>
      <c r="E20" s="1">
        <v>2</v>
      </c>
      <c r="F20" s="1" t="s">
        <v>43</v>
      </c>
      <c r="G20" s="1">
        <v>2</v>
      </c>
      <c r="H20" s="7" t="s">
        <v>91</v>
      </c>
      <c r="I20" s="7" t="s">
        <v>92</v>
      </c>
      <c r="J20" s="7" t="s">
        <v>93</v>
      </c>
      <c r="K20" s="1">
        <f t="shared" ref="K20:K30" si="6">K19+150</f>
        <v>550</v>
      </c>
      <c r="L20" s="1">
        <f t="shared" ref="L20:L30" si="7">L19+70</f>
        <v>320</v>
      </c>
      <c r="M20" s="1">
        <f t="shared" ref="M19:M39" si="8">M19+5</f>
        <v>80</v>
      </c>
      <c r="N20" s="1">
        <f t="shared" ref="N20:N30" si="9">N19+100</f>
        <v>400</v>
      </c>
      <c r="O20" s="1"/>
      <c r="P20" s="1">
        <f t="shared" ref="P20:P30" si="10">P19+6</f>
        <v>84</v>
      </c>
      <c r="Q20" s="1">
        <f t="shared" ref="Q20:Q30" si="11">Q19+6</f>
        <v>86</v>
      </c>
      <c r="R20" s="1">
        <v>14</v>
      </c>
      <c r="S20" s="1">
        <v>0</v>
      </c>
      <c r="T20" s="1">
        <v>0</v>
      </c>
      <c r="U20" s="1">
        <v>0</v>
      </c>
      <c r="V20" s="5">
        <v>14</v>
      </c>
      <c r="W20" s="5">
        <v>14</v>
      </c>
      <c r="X20" s="1">
        <v>100000</v>
      </c>
      <c r="Y20" s="1">
        <v>100000</v>
      </c>
      <c r="Z20" s="1">
        <v>18000</v>
      </c>
      <c r="AA20" s="7" t="s">
        <v>83</v>
      </c>
      <c r="AB20" s="1"/>
      <c r="AC20" s="2" t="s">
        <v>56</v>
      </c>
    </row>
    <row r="21" customHeight="1" spans="3:29">
      <c r="C21" s="1">
        <v>15</v>
      </c>
      <c r="D21" s="1">
        <v>0</v>
      </c>
      <c r="E21" s="1">
        <v>2</v>
      </c>
      <c r="F21" s="1" t="s">
        <v>46</v>
      </c>
      <c r="G21" s="1">
        <v>3</v>
      </c>
      <c r="H21" s="7" t="s">
        <v>94</v>
      </c>
      <c r="I21" s="7" t="s">
        <v>95</v>
      </c>
      <c r="J21" s="7" t="s">
        <v>96</v>
      </c>
      <c r="K21" s="1">
        <f t="shared" si="6"/>
        <v>700</v>
      </c>
      <c r="L21" s="1">
        <f t="shared" si="7"/>
        <v>390</v>
      </c>
      <c r="M21" s="1">
        <f t="shared" si="8"/>
        <v>85</v>
      </c>
      <c r="N21" s="1">
        <f t="shared" si="9"/>
        <v>500</v>
      </c>
      <c r="O21" s="1"/>
      <c r="P21" s="1">
        <f t="shared" si="10"/>
        <v>90</v>
      </c>
      <c r="Q21" s="1">
        <f t="shared" si="11"/>
        <v>92</v>
      </c>
      <c r="R21" s="1">
        <v>15</v>
      </c>
      <c r="S21" s="1">
        <v>0</v>
      </c>
      <c r="T21" s="1">
        <v>0</v>
      </c>
      <c r="U21" s="1">
        <v>0</v>
      </c>
      <c r="V21" s="5">
        <v>15</v>
      </c>
      <c r="W21" s="5">
        <v>15</v>
      </c>
      <c r="X21" s="1">
        <v>120000</v>
      </c>
      <c r="Y21" s="1">
        <v>120000</v>
      </c>
      <c r="Z21" s="1">
        <v>18000</v>
      </c>
      <c r="AA21" s="8" t="s">
        <v>87</v>
      </c>
      <c r="AB21" s="1"/>
      <c r="AC21" s="2" t="s">
        <v>56</v>
      </c>
    </row>
    <row r="22" customHeight="1" spans="3:29">
      <c r="C22" s="1">
        <v>16</v>
      </c>
      <c r="D22" s="1">
        <v>0</v>
      </c>
      <c r="E22" s="1">
        <v>2</v>
      </c>
      <c r="F22" s="1" t="s">
        <v>49</v>
      </c>
      <c r="G22" s="1">
        <v>4</v>
      </c>
      <c r="H22" s="7" t="s">
        <v>97</v>
      </c>
      <c r="I22" s="7" t="s">
        <v>98</v>
      </c>
      <c r="J22" s="7" t="s">
        <v>99</v>
      </c>
      <c r="K22" s="1">
        <f t="shared" si="6"/>
        <v>850</v>
      </c>
      <c r="L22" s="1">
        <f t="shared" si="7"/>
        <v>460</v>
      </c>
      <c r="M22" s="1">
        <f t="shared" si="8"/>
        <v>90</v>
      </c>
      <c r="N22" s="1">
        <f t="shared" si="9"/>
        <v>600</v>
      </c>
      <c r="O22" s="1">
        <v>40</v>
      </c>
      <c r="P22" s="1">
        <f t="shared" si="10"/>
        <v>96</v>
      </c>
      <c r="Q22" s="1">
        <f t="shared" si="11"/>
        <v>98</v>
      </c>
      <c r="R22" s="1">
        <v>16</v>
      </c>
      <c r="S22" s="1">
        <v>0</v>
      </c>
      <c r="T22" s="1">
        <v>0</v>
      </c>
      <c r="U22" s="1">
        <v>0</v>
      </c>
      <c r="V22" s="5">
        <v>16</v>
      </c>
      <c r="W22" s="5">
        <v>16</v>
      </c>
      <c r="X22" s="1">
        <v>140000</v>
      </c>
      <c r="Y22" s="1">
        <v>140000</v>
      </c>
      <c r="Z22" s="1">
        <v>18000</v>
      </c>
      <c r="AA22" s="7" t="s">
        <v>79</v>
      </c>
      <c r="AB22" s="1"/>
      <c r="AC22" s="2" t="s">
        <v>56</v>
      </c>
    </row>
    <row r="23" customHeight="1" spans="3:29">
      <c r="C23" s="1">
        <v>17</v>
      </c>
      <c r="D23" s="1">
        <v>0</v>
      </c>
      <c r="E23" s="1">
        <v>2</v>
      </c>
      <c r="F23" s="1" t="s">
        <v>53</v>
      </c>
      <c r="G23" s="1">
        <v>5</v>
      </c>
      <c r="H23" s="7" t="s">
        <v>100</v>
      </c>
      <c r="I23" s="7" t="s">
        <v>101</v>
      </c>
      <c r="J23" s="7" t="s">
        <v>102</v>
      </c>
      <c r="K23" s="1">
        <f t="shared" si="6"/>
        <v>1000</v>
      </c>
      <c r="L23" s="1">
        <f t="shared" si="7"/>
        <v>530</v>
      </c>
      <c r="M23" s="1">
        <f t="shared" si="8"/>
        <v>95</v>
      </c>
      <c r="N23" s="1">
        <f t="shared" si="9"/>
        <v>700</v>
      </c>
      <c r="O23" s="2">
        <f t="shared" ref="O23:O30" si="12">O22+30</f>
        <v>70</v>
      </c>
      <c r="P23" s="1">
        <f t="shared" si="10"/>
        <v>102</v>
      </c>
      <c r="Q23" s="1">
        <f t="shared" si="11"/>
        <v>104</v>
      </c>
      <c r="R23" s="1">
        <v>17</v>
      </c>
      <c r="S23" s="1">
        <v>0</v>
      </c>
      <c r="T23" s="1">
        <v>0</v>
      </c>
      <c r="U23" s="1">
        <v>0</v>
      </c>
      <c r="V23" s="5">
        <v>17</v>
      </c>
      <c r="W23" s="5">
        <v>17</v>
      </c>
      <c r="X23" s="1">
        <v>160000</v>
      </c>
      <c r="Y23" s="1">
        <v>160000</v>
      </c>
      <c r="Z23" s="1">
        <v>18000</v>
      </c>
      <c r="AA23" s="7" t="s">
        <v>83</v>
      </c>
      <c r="AB23" s="1"/>
      <c r="AC23" s="2" t="s">
        <v>56</v>
      </c>
    </row>
    <row r="24" customHeight="1" spans="3:29">
      <c r="C24" s="1">
        <v>18</v>
      </c>
      <c r="D24" s="1">
        <v>0</v>
      </c>
      <c r="E24" s="1">
        <v>2</v>
      </c>
      <c r="F24" s="1" t="s">
        <v>57</v>
      </c>
      <c r="G24" s="1">
        <v>6</v>
      </c>
      <c r="H24" s="7" t="s">
        <v>103</v>
      </c>
      <c r="I24" s="7" t="s">
        <v>104</v>
      </c>
      <c r="J24" s="7" t="s">
        <v>105</v>
      </c>
      <c r="K24" s="1">
        <f t="shared" si="6"/>
        <v>1150</v>
      </c>
      <c r="L24" s="1">
        <f t="shared" si="7"/>
        <v>600</v>
      </c>
      <c r="M24" s="1">
        <f t="shared" si="8"/>
        <v>100</v>
      </c>
      <c r="N24" s="1">
        <f t="shared" si="9"/>
        <v>800</v>
      </c>
      <c r="O24" s="2">
        <f t="shared" si="12"/>
        <v>100</v>
      </c>
      <c r="P24" s="1">
        <f t="shared" si="10"/>
        <v>108</v>
      </c>
      <c r="Q24" s="1">
        <f t="shared" si="11"/>
        <v>110</v>
      </c>
      <c r="R24" s="1">
        <v>18</v>
      </c>
      <c r="S24" s="1">
        <v>0</v>
      </c>
      <c r="T24" s="1">
        <v>0</v>
      </c>
      <c r="U24" s="1">
        <v>0</v>
      </c>
      <c r="V24" s="5">
        <v>18</v>
      </c>
      <c r="W24" s="5">
        <v>18</v>
      </c>
      <c r="X24" s="1">
        <v>180000</v>
      </c>
      <c r="Y24" s="1">
        <v>180000</v>
      </c>
      <c r="Z24" s="1">
        <v>18000</v>
      </c>
      <c r="AA24" s="8" t="s">
        <v>87</v>
      </c>
      <c r="AB24" s="1"/>
      <c r="AC24" s="2" t="s">
        <v>56</v>
      </c>
    </row>
    <row r="25" customHeight="1" spans="3:29">
      <c r="C25" s="1">
        <v>19</v>
      </c>
      <c r="D25" s="1">
        <v>0</v>
      </c>
      <c r="E25" s="1">
        <v>2</v>
      </c>
      <c r="F25" s="1" t="s">
        <v>61</v>
      </c>
      <c r="G25" s="1">
        <v>7</v>
      </c>
      <c r="H25" s="7" t="s">
        <v>106</v>
      </c>
      <c r="I25" s="7" t="s">
        <v>107</v>
      </c>
      <c r="J25" s="7" t="s">
        <v>108</v>
      </c>
      <c r="K25" s="1">
        <f t="shared" si="6"/>
        <v>1300</v>
      </c>
      <c r="L25" s="1">
        <f t="shared" si="7"/>
        <v>670</v>
      </c>
      <c r="M25" s="1">
        <f t="shared" si="8"/>
        <v>105</v>
      </c>
      <c r="N25" s="1">
        <f t="shared" si="9"/>
        <v>900</v>
      </c>
      <c r="O25" s="2">
        <f t="shared" si="12"/>
        <v>130</v>
      </c>
      <c r="P25" s="1">
        <f t="shared" si="10"/>
        <v>114</v>
      </c>
      <c r="Q25" s="1">
        <f t="shared" si="11"/>
        <v>116</v>
      </c>
      <c r="R25" s="1">
        <v>19</v>
      </c>
      <c r="S25" s="1">
        <v>0</v>
      </c>
      <c r="T25" s="1">
        <v>0</v>
      </c>
      <c r="U25" s="1">
        <v>0</v>
      </c>
      <c r="V25" s="5">
        <v>19</v>
      </c>
      <c r="W25" s="5">
        <v>19</v>
      </c>
      <c r="X25" s="1">
        <v>200000</v>
      </c>
      <c r="Y25" s="1">
        <v>200000</v>
      </c>
      <c r="Z25" s="1">
        <v>18000</v>
      </c>
      <c r="AA25" s="7" t="s">
        <v>79</v>
      </c>
      <c r="AB25" s="1"/>
      <c r="AC25" s="2" t="s">
        <v>56</v>
      </c>
    </row>
    <row r="26" customHeight="1" spans="3:29">
      <c r="C26" s="1">
        <v>20</v>
      </c>
      <c r="D26" s="1">
        <v>0</v>
      </c>
      <c r="E26" s="1">
        <v>2</v>
      </c>
      <c r="F26" s="1" t="s">
        <v>66</v>
      </c>
      <c r="G26" s="1">
        <v>8</v>
      </c>
      <c r="H26" s="7" t="s">
        <v>109</v>
      </c>
      <c r="I26" s="7" t="s">
        <v>110</v>
      </c>
      <c r="J26" s="7" t="s">
        <v>111</v>
      </c>
      <c r="K26" s="1">
        <f t="shared" si="6"/>
        <v>1450</v>
      </c>
      <c r="L26" s="1">
        <f t="shared" si="7"/>
        <v>740</v>
      </c>
      <c r="M26" s="1">
        <f t="shared" si="8"/>
        <v>110</v>
      </c>
      <c r="N26" s="1">
        <f t="shared" si="9"/>
        <v>1000</v>
      </c>
      <c r="O26" s="2">
        <f t="shared" si="12"/>
        <v>160</v>
      </c>
      <c r="P26" s="1">
        <f t="shared" si="10"/>
        <v>120</v>
      </c>
      <c r="Q26" s="1">
        <f t="shared" si="11"/>
        <v>122</v>
      </c>
      <c r="R26" s="1">
        <v>20</v>
      </c>
      <c r="S26" s="1">
        <v>0</v>
      </c>
      <c r="T26" s="1">
        <v>0</v>
      </c>
      <c r="U26" s="1">
        <v>0</v>
      </c>
      <c r="V26" s="5">
        <v>20</v>
      </c>
      <c r="W26" s="5">
        <v>20</v>
      </c>
      <c r="X26" s="1">
        <v>220000</v>
      </c>
      <c r="Y26" s="1">
        <v>220000</v>
      </c>
      <c r="Z26" s="1">
        <v>18000</v>
      </c>
      <c r="AA26" s="7" t="s">
        <v>83</v>
      </c>
      <c r="AB26" s="1"/>
      <c r="AC26" s="2" t="s">
        <v>56</v>
      </c>
    </row>
    <row r="27" customHeight="1" spans="3:29">
      <c r="C27" s="1">
        <v>21</v>
      </c>
      <c r="D27" s="1">
        <v>0</v>
      </c>
      <c r="E27" s="1">
        <v>2</v>
      </c>
      <c r="F27" s="1" t="s">
        <v>71</v>
      </c>
      <c r="G27" s="1">
        <v>9</v>
      </c>
      <c r="H27" s="7" t="s">
        <v>112</v>
      </c>
      <c r="I27" s="7" t="s">
        <v>113</v>
      </c>
      <c r="J27" s="7" t="s">
        <v>114</v>
      </c>
      <c r="K27" s="1">
        <f t="shared" si="6"/>
        <v>1600</v>
      </c>
      <c r="L27" s="1">
        <f t="shared" si="7"/>
        <v>810</v>
      </c>
      <c r="M27" s="1">
        <f t="shared" si="8"/>
        <v>115</v>
      </c>
      <c r="N27" s="1">
        <f t="shared" si="9"/>
        <v>1100</v>
      </c>
      <c r="O27" s="2">
        <f t="shared" si="12"/>
        <v>190</v>
      </c>
      <c r="P27" s="1">
        <f t="shared" si="10"/>
        <v>126</v>
      </c>
      <c r="Q27" s="1">
        <f t="shared" si="11"/>
        <v>128</v>
      </c>
      <c r="R27" s="1">
        <v>21</v>
      </c>
      <c r="S27" s="1">
        <v>0</v>
      </c>
      <c r="T27" s="1">
        <v>0</v>
      </c>
      <c r="U27" s="1">
        <v>0</v>
      </c>
      <c r="V27" s="5">
        <v>21</v>
      </c>
      <c r="W27" s="5">
        <v>21</v>
      </c>
      <c r="X27" s="1">
        <v>240000</v>
      </c>
      <c r="Y27" s="1">
        <v>240000</v>
      </c>
      <c r="Z27" s="1">
        <v>18000</v>
      </c>
      <c r="AA27" s="8" t="s">
        <v>87</v>
      </c>
      <c r="AB27" s="1"/>
      <c r="AC27" s="2" t="s">
        <v>56</v>
      </c>
    </row>
    <row r="28" customHeight="1" spans="3:29">
      <c r="C28" s="1">
        <v>22</v>
      </c>
      <c r="D28" s="1">
        <v>0</v>
      </c>
      <c r="E28" s="1">
        <v>2</v>
      </c>
      <c r="F28" s="1" t="s">
        <v>76</v>
      </c>
      <c r="G28" s="1">
        <v>10</v>
      </c>
      <c r="H28" s="7" t="s">
        <v>115</v>
      </c>
      <c r="I28" s="7" t="s">
        <v>116</v>
      </c>
      <c r="J28" s="7" t="s">
        <v>117</v>
      </c>
      <c r="K28" s="1">
        <f t="shared" si="6"/>
        <v>1750</v>
      </c>
      <c r="L28" s="1">
        <f t="shared" si="7"/>
        <v>880</v>
      </c>
      <c r="M28" s="1">
        <f t="shared" si="8"/>
        <v>120</v>
      </c>
      <c r="N28" s="1">
        <f t="shared" si="9"/>
        <v>1200</v>
      </c>
      <c r="O28" s="2">
        <f t="shared" si="12"/>
        <v>220</v>
      </c>
      <c r="P28" s="1">
        <f t="shared" si="10"/>
        <v>132</v>
      </c>
      <c r="Q28" s="1">
        <f t="shared" si="11"/>
        <v>134</v>
      </c>
      <c r="R28" s="1">
        <v>22</v>
      </c>
      <c r="S28" s="1">
        <v>0</v>
      </c>
      <c r="T28" s="1">
        <v>0</v>
      </c>
      <c r="U28" s="1">
        <v>0</v>
      </c>
      <c r="V28" s="5">
        <v>22</v>
      </c>
      <c r="W28" s="5">
        <v>22</v>
      </c>
      <c r="X28" s="1">
        <v>260000</v>
      </c>
      <c r="Y28" s="1">
        <v>260000</v>
      </c>
      <c r="Z28" s="1">
        <v>18000</v>
      </c>
      <c r="AA28" s="7" t="s">
        <v>79</v>
      </c>
      <c r="AB28" s="1"/>
      <c r="AC28" s="2" t="s">
        <v>56</v>
      </c>
    </row>
    <row r="29" customHeight="1" spans="3:29">
      <c r="C29" s="1">
        <v>23</v>
      </c>
      <c r="D29" s="1">
        <v>0</v>
      </c>
      <c r="E29" s="1">
        <v>2</v>
      </c>
      <c r="F29" s="1" t="s">
        <v>80</v>
      </c>
      <c r="G29" s="1">
        <v>11</v>
      </c>
      <c r="H29" s="7" t="s">
        <v>118</v>
      </c>
      <c r="I29" s="7" t="s">
        <v>119</v>
      </c>
      <c r="J29" s="7" t="s">
        <v>120</v>
      </c>
      <c r="K29" s="1">
        <f t="shared" si="6"/>
        <v>1900</v>
      </c>
      <c r="L29" s="1">
        <f t="shared" si="7"/>
        <v>950</v>
      </c>
      <c r="M29" s="1">
        <f t="shared" si="8"/>
        <v>125</v>
      </c>
      <c r="N29" s="1">
        <f t="shared" si="9"/>
        <v>1300</v>
      </c>
      <c r="O29" s="2">
        <f t="shared" si="12"/>
        <v>250</v>
      </c>
      <c r="P29" s="1">
        <f t="shared" si="10"/>
        <v>138</v>
      </c>
      <c r="Q29" s="1">
        <f t="shared" si="11"/>
        <v>140</v>
      </c>
      <c r="R29" s="1">
        <v>23</v>
      </c>
      <c r="S29" s="1">
        <v>0</v>
      </c>
      <c r="T29" s="1">
        <v>0</v>
      </c>
      <c r="U29" s="1">
        <v>0</v>
      </c>
      <c r="V29" s="5">
        <v>23</v>
      </c>
      <c r="W29" s="5">
        <v>23</v>
      </c>
      <c r="X29" s="1">
        <v>280000</v>
      </c>
      <c r="Y29" s="1">
        <v>280000</v>
      </c>
      <c r="Z29" s="1">
        <v>18000</v>
      </c>
      <c r="AA29" s="7" t="s">
        <v>83</v>
      </c>
      <c r="AB29" s="1"/>
      <c r="AC29" s="2" t="s">
        <v>56</v>
      </c>
    </row>
    <row r="30" customHeight="1" spans="3:29">
      <c r="C30" s="1">
        <v>24</v>
      </c>
      <c r="D30" s="1">
        <v>0</v>
      </c>
      <c r="E30" s="1">
        <v>2</v>
      </c>
      <c r="F30" s="1" t="s">
        <v>84</v>
      </c>
      <c r="G30" s="1">
        <v>12</v>
      </c>
      <c r="H30" s="7" t="s">
        <v>121</v>
      </c>
      <c r="I30" s="7" t="s">
        <v>122</v>
      </c>
      <c r="J30" s="7" t="s">
        <v>123</v>
      </c>
      <c r="K30" s="1">
        <f t="shared" si="6"/>
        <v>2050</v>
      </c>
      <c r="L30" s="1">
        <f t="shared" si="7"/>
        <v>1020</v>
      </c>
      <c r="M30" s="1">
        <f t="shared" si="8"/>
        <v>130</v>
      </c>
      <c r="N30" s="1">
        <f t="shared" si="9"/>
        <v>1400</v>
      </c>
      <c r="O30" s="2">
        <f t="shared" si="12"/>
        <v>280</v>
      </c>
      <c r="P30" s="1">
        <f t="shared" si="10"/>
        <v>144</v>
      </c>
      <c r="Q30" s="1">
        <f t="shared" si="11"/>
        <v>146</v>
      </c>
      <c r="R30" s="1">
        <v>24</v>
      </c>
      <c r="S30" s="1">
        <v>0</v>
      </c>
      <c r="T30" s="1">
        <v>0</v>
      </c>
      <c r="U30" s="1">
        <v>0</v>
      </c>
      <c r="V30" s="5">
        <v>24</v>
      </c>
      <c r="W30" s="5">
        <v>24</v>
      </c>
      <c r="X30" s="1">
        <v>300000</v>
      </c>
      <c r="Y30" s="1">
        <v>300000</v>
      </c>
      <c r="Z30" s="1">
        <v>18000</v>
      </c>
      <c r="AA30" s="8" t="s">
        <v>87</v>
      </c>
      <c r="AB30" s="1"/>
      <c r="AC30" s="2" t="s">
        <v>56</v>
      </c>
    </row>
  </sheetData>
  <dataValidations count="1">
    <dataValidation type="custom" allowBlank="1" showErrorMessage="1" errorTitle="拒绝重复输入" error="当前输入的内容，与本区域的其他单元格内容重复。" sqref="O3 O4 O5 C3:N5 P3:W5 AA3:AB5" errorStyle="warning">
      <formula1>COUNTIF($A:$A,C3)&lt;2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2026-10-02T16:26:07Z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