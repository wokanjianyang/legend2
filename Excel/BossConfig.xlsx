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<sst xmlns="http://schemas.openxmlformats.org/spreadsheetml/2006/main" count="137" uniqueCount="89">
  <si>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</si>
  <si>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</si>
  <si>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</si>
  <si>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</si>
  <si>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</si>
  <si>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</si>
  <si>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</si>
  <si>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</si>
  <si>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</si>
  <si>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</si>
  <si>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</si>
  <si>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</si>
  <si>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</si>
  <si>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</si>
  <si>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</si>
  <si>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</si>
  <si>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</si>
  <si>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</si>
  <si>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</si>
  <si>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</si>
  <si>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</si>
  <si>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</si>
  <si>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</si>
  <si>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</si>
  <si>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</si>
  <si>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</si>
  <si>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</si>
  <si>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</si>
  <si>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</si>
  <si>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</si>
  <si>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</si>
  <si>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</si>
  <si>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</si>
  <si>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</si>
  <si>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</si>
  <si>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</si>
  <si>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</si>
  <si>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</si>
  <si>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</si>
  <si>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</si>
  <si>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</si>
  <si>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</si>
  <si>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</si>
  <si>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</si>
  <si>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</si>
  <si>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</si>
  <si>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10E+8</t>
  </si>
  <si>
    <t>1小时</t>
  </si>
  <si>
    <t>梦魇鹿神</t>
  </si>
  <si>
    <t>5E+9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</si>
  <si>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</si>
  <si>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</si>
  <si>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</si>
  <si>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</si>
  <si>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</si>
  <si>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</si>
  <si>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</si>
  <si>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</si>
  <si>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1E+11</t>
  </si>
  <si>
    <t>1002</t>
  </si>
  <si>
    <t>炎魔领主</t>
  </si>
  <si>
    <t>4E+7</t>
  </si>
  <si>
    <t>1E+8</t>
  </si>
  <si>
    <t>5E+11</t>
  </si>
  <si>
    <t>3002,3003</t>
  </si>
  <si>
    <t>冰霜巨龙</t>
  </si>
  <si>
    <t>3E+8</t>
  </si>
  <si>
    <t>2E+12</t>
  </si>
  <si>
    <t>2002,2003</t>
  </si>
  <si>
    <t>痛苦女王</t>
  </si>
  <si>
    <t>23E+7</t>
  </si>
  <si>
    <t>9E+8</t>
  </si>
  <si>
    <t>8E+12</t>
  </si>
  <si>
    <t>1002,1003</t>
  </si>
  <si>
    <t>野蛮酋长</t>
  </si>
  <si>
    <t>52E+7</t>
  </si>
  <si>
    <t>27E+8</t>
  </si>
  <si>
    <t>32E+12</t>
  </si>
  <si>
    <t>3002,3003,3004</t>
  </si>
  <si>
    <t>终末主宰</t>
  </si>
  <si>
    <t>11E+8</t>
  </si>
  <si>
    <t>9E+9</t>
  </si>
  <si>
    <t>13E+13</t>
  </si>
  <si>
    <t>2002,2003,2004</t>
  </si>
  <si>
    <t>毁灭之王</t>
  </si>
  <si>
    <t>25E+8</t>
  </si>
  <si>
    <t>30E+9</t>
  </si>
  <si>
    <t>55E+13</t>
  </si>
  <si>
    <t>1002,1003,1004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</si>
</sst>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3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4"/>
  <sheetViews>
    <sheetView tabSelected="1" workbookViewId="0">
      <selection activeCell="J24" sqref="J24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10000</v>
      </c>
      <c r="I6" s="1">
        <v>10000</v>
      </c>
      <c r="J6" s="7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120000</v>
      </c>
      <c r="I7" s="1">
        <v>100000</v>
      </c>
      <c r="J7" s="7" t="s">
        <v>43</v>
      </c>
      <c r="K7" s="1">
        <f t="shared" ref="K7:K17" si="0">K6+25</f>
        <v>75</v>
      </c>
      <c r="L7" s="1">
        <f t="shared" ref="L7:L17" si="1">L6+15</f>
        <v>45</v>
      </c>
      <c r="M7" s="1">
        <f t="shared" ref="M7:M17" si="2">M6+5</f>
        <v>20</v>
      </c>
      <c r="N7" s="1">
        <f t="shared" ref="N7:N17" si="3">N6+10</f>
        <v>40</v>
      </c>
      <c r="O7" s="1">
        <f t="shared" ref="O7:O17" si="4">O6+5</f>
        <v>15</v>
      </c>
      <c r="P7" s="1">
        <f t="shared" ref="P7:P17" si="5">P6+5</f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9000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800000</v>
      </c>
      <c r="I8" s="1">
        <v>400000</v>
      </c>
      <c r="J8" s="7" t="s">
        <v>46</v>
      </c>
      <c r="K8" s="1">
        <f t="shared" si="0"/>
        <v>100</v>
      </c>
      <c r="L8" s="1">
        <f t="shared" si="1"/>
        <v>60</v>
      </c>
      <c r="M8" s="1">
        <f t="shared" si="2"/>
        <v>25</v>
      </c>
      <c r="N8" s="1">
        <f t="shared" si="3"/>
        <v>50</v>
      </c>
      <c r="O8" s="1">
        <f t="shared" si="4"/>
        <v>20</v>
      </c>
      <c r="P8" s="1">
        <f t="shared" si="5"/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13500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2400000</v>
      </c>
      <c r="I9" s="1">
        <v>2000000</v>
      </c>
      <c r="J9" s="7" t="s">
        <v>49</v>
      </c>
      <c r="K9" s="1">
        <f t="shared" si="0"/>
        <v>125</v>
      </c>
      <c r="L9" s="1">
        <f t="shared" si="1"/>
        <v>75</v>
      </c>
      <c r="M9" s="1">
        <f t="shared" si="2"/>
        <v>30</v>
      </c>
      <c r="N9" s="1">
        <f t="shared" si="3"/>
        <v>60</v>
      </c>
      <c r="O9" s="1">
        <f t="shared" si="4"/>
        <v>25</v>
      </c>
      <c r="P9" s="1">
        <f t="shared" si="5"/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18000</v>
      </c>
      <c r="Z9" s="7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7200000</v>
      </c>
      <c r="I10" s="7" t="s">
        <v>40</v>
      </c>
      <c r="J10" s="7" t="s">
        <v>53</v>
      </c>
      <c r="K10" s="1">
        <f t="shared" si="0"/>
        <v>150</v>
      </c>
      <c r="L10" s="1">
        <f t="shared" si="1"/>
        <v>90</v>
      </c>
      <c r="M10" s="1">
        <f t="shared" si="2"/>
        <v>35</v>
      </c>
      <c r="N10" s="1">
        <f t="shared" si="3"/>
        <v>70</v>
      </c>
      <c r="O10" s="1">
        <f t="shared" si="4"/>
        <v>30</v>
      </c>
      <c r="P10" s="1">
        <f t="shared" si="5"/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22500</v>
      </c>
      <c r="Z10" s="7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20000000</v>
      </c>
      <c r="I11" s="7" t="s">
        <v>57</v>
      </c>
      <c r="J11" s="7" t="s">
        <v>58</v>
      </c>
      <c r="K11" s="1">
        <f t="shared" si="0"/>
        <v>175</v>
      </c>
      <c r="L11" s="1">
        <f t="shared" si="1"/>
        <v>105</v>
      </c>
      <c r="M11" s="1">
        <f t="shared" si="2"/>
        <v>40</v>
      </c>
      <c r="N11" s="1">
        <f t="shared" si="3"/>
        <v>80</v>
      </c>
      <c r="O11" s="1">
        <f t="shared" si="4"/>
        <v>35</v>
      </c>
      <c r="P11" s="1">
        <f t="shared" si="5"/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27000</v>
      </c>
      <c r="Z11" s="8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7" t="s">
        <v>61</v>
      </c>
      <c r="I12" s="9" t="s">
        <v>62</v>
      </c>
      <c r="J12" s="9" t="s">
        <v>63</v>
      </c>
      <c r="K12" s="1">
        <f t="shared" si="0"/>
        <v>200</v>
      </c>
      <c r="L12" s="1">
        <f t="shared" si="1"/>
        <v>120</v>
      </c>
      <c r="M12" s="1">
        <f t="shared" si="2"/>
        <v>45</v>
      </c>
      <c r="N12" s="1">
        <f t="shared" si="3"/>
        <v>90</v>
      </c>
      <c r="O12" s="1">
        <f t="shared" si="4"/>
        <v>40</v>
      </c>
      <c r="P12" s="1">
        <f t="shared" si="5"/>
        <v>50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31500</v>
      </c>
      <c r="Z12" s="7" t="s">
        <v>64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65</v>
      </c>
      <c r="G13" s="1">
        <v>8</v>
      </c>
      <c r="H13" s="7" t="s">
        <v>62</v>
      </c>
      <c r="I13" s="7" t="s">
        <v>66</v>
      </c>
      <c r="J13" s="7" t="s">
        <v>67</v>
      </c>
      <c r="K13" s="1">
        <f t="shared" si="0"/>
        <v>225</v>
      </c>
      <c r="L13" s="1">
        <f t="shared" si="1"/>
        <v>135</v>
      </c>
      <c r="M13" s="1">
        <f t="shared" si="2"/>
        <v>50</v>
      </c>
      <c r="N13" s="1">
        <f t="shared" si="3"/>
        <v>100</v>
      </c>
      <c r="O13" s="1">
        <f t="shared" si="4"/>
        <v>45</v>
      </c>
      <c r="P13" s="1">
        <f t="shared" si="5"/>
        <v>55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36000</v>
      </c>
      <c r="Z13" s="7" t="s">
        <v>68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69</v>
      </c>
      <c r="G14" s="1">
        <v>9</v>
      </c>
      <c r="H14" s="7" t="s">
        <v>70</v>
      </c>
      <c r="I14" s="7" t="s">
        <v>71</v>
      </c>
      <c r="J14" s="7" t="s">
        <v>72</v>
      </c>
      <c r="K14" s="1">
        <f t="shared" si="0"/>
        <v>250</v>
      </c>
      <c r="L14" s="1">
        <f t="shared" si="1"/>
        <v>150</v>
      </c>
      <c r="M14" s="1">
        <f t="shared" si="2"/>
        <v>55</v>
      </c>
      <c r="N14" s="1">
        <f t="shared" si="3"/>
        <v>110</v>
      </c>
      <c r="O14" s="1">
        <f t="shared" si="4"/>
        <v>50</v>
      </c>
      <c r="P14" s="1">
        <f t="shared" si="5"/>
        <v>60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36000</v>
      </c>
      <c r="Z14" s="8" t="s">
        <v>73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74</v>
      </c>
      <c r="G15" s="1">
        <v>10</v>
      </c>
      <c r="H15" s="7" t="s">
        <v>75</v>
      </c>
      <c r="I15" s="7" t="s">
        <v>76</v>
      </c>
      <c r="J15" s="7" t="s">
        <v>77</v>
      </c>
      <c r="K15" s="1">
        <f t="shared" si="0"/>
        <v>275</v>
      </c>
      <c r="L15" s="1">
        <f t="shared" si="1"/>
        <v>165</v>
      </c>
      <c r="M15" s="1">
        <f t="shared" si="2"/>
        <v>60</v>
      </c>
      <c r="N15" s="1">
        <f t="shared" si="3"/>
        <v>120</v>
      </c>
      <c r="O15" s="1">
        <f t="shared" si="4"/>
        <v>55</v>
      </c>
      <c r="P15" s="1">
        <f t="shared" si="5"/>
        <v>65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36000</v>
      </c>
      <c r="Z15" s="7" t="s">
        <v>78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79</v>
      </c>
      <c r="G16" s="1">
        <v>11</v>
      </c>
      <c r="H16" s="7" t="s">
        <v>80</v>
      </c>
      <c r="I16" s="7" t="s">
        <v>81</v>
      </c>
      <c r="J16" s="7" t="s">
        <v>82</v>
      </c>
      <c r="K16" s="1">
        <f t="shared" si="0"/>
        <v>300</v>
      </c>
      <c r="L16" s="1">
        <f t="shared" si="1"/>
        <v>180</v>
      </c>
      <c r="M16" s="1">
        <f t="shared" si="2"/>
        <v>65</v>
      </c>
      <c r="N16" s="1">
        <f t="shared" si="3"/>
        <v>130</v>
      </c>
      <c r="O16" s="1">
        <f t="shared" si="4"/>
        <v>60</v>
      </c>
      <c r="P16" s="1">
        <f t="shared" si="5"/>
        <v>70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36000</v>
      </c>
      <c r="Z16" s="7" t="s">
        <v>83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84</v>
      </c>
      <c r="G17" s="1">
        <v>12</v>
      </c>
      <c r="H17" s="7" t="s">
        <v>85</v>
      </c>
      <c r="I17" s="7" t="s">
        <v>86</v>
      </c>
      <c r="J17" s="7" t="s">
        <v>87</v>
      </c>
      <c r="K17" s="1">
        <f t="shared" si="0"/>
        <v>325</v>
      </c>
      <c r="L17" s="1">
        <f t="shared" si="1"/>
        <v>195</v>
      </c>
      <c r="M17" s="1">
        <f t="shared" si="2"/>
        <v>70</v>
      </c>
      <c r="N17" s="1">
        <f t="shared" si="3"/>
        <v>140</v>
      </c>
      <c r="O17" s="1">
        <f t="shared" si="4"/>
        <v>65</v>
      </c>
      <c r="P17" s="1">
        <f t="shared" si="5"/>
        <v>75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36000</v>
      </c>
      <c r="Z17" s="8" t="s">
        <v>88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24" customHeight="1" spans="3:28">
      <c r="J24" s="1"/>
    </row>
  </sheetData>
  <dataValidations count="1">
    <dataValidation type="custom" allowBlank="1" showErrorMessage="1" errorTitle="拒绝重复输入" error="当前输入的内容，与本区域的其他单元格内容重复。" sqref="C3:J5 K3:V5 Z3:AA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2026-08-09T10:00:49Z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