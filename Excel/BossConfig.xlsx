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<sst xmlns="http://schemas.openxmlformats.org/spreadsheetml/2006/main" count="209" uniqueCount="87">
  <si>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</si>
  <si>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</si>
  <si>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</si>
  <si>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</si>
  <si>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</si>
  <si>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</si>
  <si>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</si>
  <si>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</si>
  <si>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</si>
  <si>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</si>
  <si>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</si>
  <si>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</si>
  <si>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</si>
  <si>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</si>
  <si>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</si>
  <si>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</si>
  <si>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</si>
  <si>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</si>
  <si>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</si>
  <si>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</si>
  <si>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</si>
  <si>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</si>
  <si>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</si>
  <si>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</si>
  <si>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</si>
  <si>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</si>
  <si>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</si>
  <si>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</si>
  <si>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</si>
  <si>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</si>
  <si>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</si>
  <si>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</si>
  <si>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</si>
  <si>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</si>
  <si>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</si>
  <si>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</si>
  <si>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</si>
  <si>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</si>
  <si>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</si>
  <si>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</si>
  <si>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</si>
  <si>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</si>
  <si>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</si>
  <si>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</si>
  <si>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</si>
  <si>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</si>
  <si>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</si>
  <si>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</si>
  <si>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</si>
  <si>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</si>
  <si>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</si>
  <si>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</si>
  <si>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</si>
  <si>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</si>
  <si>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</si>
  <si>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</si>
  <si>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</si>
  <si>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</si>
  <si>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</si>
  <si>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</si>
  <si>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</si>
  <si>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9E+6</t>
  </si>
  <si>
    <t>1E+8</t>
  </si>
  <si>
    <t>3E+11</t>
  </si>
  <si>
    <t>3002,3003</t>
  </si>
  <si>
    <t>冰霜巨龙</t>
  </si>
  <si>
    <t>2E+7</t>
  </si>
  <si>
    <t>3E+8</t>
  </si>
  <si>
    <t>12E+11</t>
  </si>
  <si>
    <t>2002,2003</t>
  </si>
  <si>
    <t>痛苦女王</t>
  </si>
  <si>
    <t>5E+7</t>
  </si>
  <si>
    <t>9E+8</t>
  </si>
  <si>
    <t>5E+12</t>
  </si>
  <si>
    <t>1002,1003</t>
  </si>
  <si>
    <t>野蛮酋长</t>
  </si>
  <si>
    <t>27E+8</t>
  </si>
  <si>
    <t>16E+12</t>
  </si>
  <si>
    <t>3002,3003,3004</t>
  </si>
  <si>
    <t>终末主宰</t>
  </si>
  <si>
    <t>9E+9</t>
  </si>
  <si>
    <t>13E+13</t>
  </si>
  <si>
    <t>2002,2003,2004</t>
  </si>
  <si>
    <t>毁灭之王</t>
  </si>
  <si>
    <t>30E+9</t>
  </si>
  <si>
    <t>55E+13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</si>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</sst>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30"/>
  <sheetViews>
    <sheetView tabSelected="1" workbookViewId="0">
      <selection activeCell="U39" sqref="U39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70000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6000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225000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850000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10000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1000000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12000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14000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16000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18000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18000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62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18000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67</v>
      </c>
      <c r="I16" s="7" t="s">
        <v>80</v>
      </c>
      <c r="J16" s="7" t="s">
        <v>81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18000</v>
      </c>
      <c r="Z16" s="7" t="s">
        <v>82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83</v>
      </c>
      <c r="G17" s="1">
        <v>12</v>
      </c>
      <c r="H17" s="7" t="s">
        <v>72</v>
      </c>
      <c r="I17" s="7" t="s">
        <v>84</v>
      </c>
      <c r="J17" s="7" t="s">
        <v>85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18000</v>
      </c>
      <c r="Z17" s="8" t="s">
        <v>86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19" customHeight="1" spans="3:28">
      <c r="C19" s="1">
        <v>13</v>
      </c>
      <c r="D19" s="1">
        <v>0</v>
      </c>
      <c r="E19" s="1">
        <v>2</v>
      </c>
      <c r="F19" s="1" t="s">
        <v>39</v>
      </c>
      <c r="G19" s="1">
        <v>1</v>
      </c>
      <c r="H19" s="7" t="s">
        <v>72</v>
      </c>
      <c r="I19" s="7" t="s">
        <v>84</v>
      </c>
      <c r="J19" s="7" t="s">
        <v>85</v>
      </c>
      <c r="K19" s="1">
        <v>400</v>
      </c>
      <c r="L19" s="1">
        <v>250</v>
      </c>
      <c r="M19" s="1">
        <f t="shared" ref="M19:M39" si="6">M18+5</f>
        <v>5</v>
      </c>
      <c r="N19" s="1">
        <f t="shared" ref="N19:N39" si="7">N18+10</f>
        <v>10</v>
      </c>
      <c r="O19" s="1">
        <v>78</v>
      </c>
      <c r="P19" s="1">
        <v>80</v>
      </c>
      <c r="Q19" s="1">
        <v>0</v>
      </c>
      <c r="R19" s="1">
        <v>0</v>
      </c>
      <c r="S19" s="1">
        <v>0</v>
      </c>
      <c r="T19" s="1">
        <v>0</v>
      </c>
      <c r="U19" s="5">
        <v>13</v>
      </c>
      <c r="V19" s="5">
        <v>13</v>
      </c>
      <c r="W19" s="1">
        <v>90000</v>
      </c>
      <c r="X19" s="1">
        <v>90000</v>
      </c>
      <c r="Y19" s="1">
        <v>18000</v>
      </c>
      <c r="Z19" s="7" t="s">
        <v>78</v>
      </c>
      <c r="AA19" s="1"/>
      <c r="AB19" s="2" t="s">
        <v>55</v>
      </c>
    </row>
    <row r="20" customHeight="1" spans="3:28">
      <c r="C20" s="1">
        <v>14</v>
      </c>
      <c r="D20" s="1">
        <v>0</v>
      </c>
      <c r="E20" s="1">
        <v>2</v>
      </c>
      <c r="F20" s="1" t="s">
        <v>42</v>
      </c>
      <c r="G20" s="1">
        <v>2</v>
      </c>
      <c r="H20" s="7" t="s">
        <v>72</v>
      </c>
      <c r="I20" s="7" t="s">
        <v>84</v>
      </c>
      <c r="J20" s="7" t="s">
        <v>85</v>
      </c>
      <c r="K20" s="1">
        <f t="shared" ref="K20:K30" si="8">K19+150</f>
        <v>550</v>
      </c>
      <c r="L20" s="1">
        <f t="shared" ref="L20:L30" si="9">L19+70</f>
        <v>320</v>
      </c>
      <c r="M20" s="1">
        <f t="shared" si="6"/>
        <v>10</v>
      </c>
      <c r="N20" s="1">
        <f t="shared" si="7"/>
        <v>20</v>
      </c>
      <c r="O20" s="1">
        <f t="shared" ref="O20:O30" si="10">O19+6</f>
        <v>84</v>
      </c>
      <c r="P20" s="1">
        <f t="shared" ref="P20:P30" si="11">P19+6</f>
        <v>86</v>
      </c>
      <c r="Q20" s="1">
        <v>0</v>
      </c>
      <c r="R20" s="1">
        <v>0</v>
      </c>
      <c r="S20" s="1">
        <v>0</v>
      </c>
      <c r="T20" s="1">
        <v>0</v>
      </c>
      <c r="U20" s="5">
        <v>14</v>
      </c>
      <c r="V20" s="5">
        <v>14</v>
      </c>
      <c r="W20" s="1">
        <v>100000</v>
      </c>
      <c r="X20" s="1">
        <v>100000</v>
      </c>
      <c r="Y20" s="1">
        <v>18000</v>
      </c>
      <c r="Z20" s="7" t="s">
        <v>82</v>
      </c>
      <c r="AA20" s="1"/>
      <c r="AB20" s="2" t="s">
        <v>55</v>
      </c>
    </row>
    <row r="21" customHeight="1" spans="3:28">
      <c r="C21" s="1">
        <v>15</v>
      </c>
      <c r="D21" s="1">
        <v>0</v>
      </c>
      <c r="E21" s="1">
        <v>2</v>
      </c>
      <c r="F21" s="1" t="s">
        <v>45</v>
      </c>
      <c r="G21" s="1">
        <v>3</v>
      </c>
      <c r="H21" s="7" t="s">
        <v>72</v>
      </c>
      <c r="I21" s="7" t="s">
        <v>84</v>
      </c>
      <c r="J21" s="7" t="s">
        <v>85</v>
      </c>
      <c r="K21" s="1">
        <f t="shared" si="8"/>
        <v>700</v>
      </c>
      <c r="L21" s="1">
        <f t="shared" si="9"/>
        <v>390</v>
      </c>
      <c r="M21" s="1">
        <f t="shared" si="6"/>
        <v>15</v>
      </c>
      <c r="N21" s="1">
        <f t="shared" si="7"/>
        <v>30</v>
      </c>
      <c r="O21" s="1">
        <f t="shared" si="10"/>
        <v>90</v>
      </c>
      <c r="P21" s="1">
        <f t="shared" si="11"/>
        <v>92</v>
      </c>
      <c r="Q21" s="1">
        <v>0</v>
      </c>
      <c r="R21" s="1">
        <v>0</v>
      </c>
      <c r="S21" s="1">
        <v>0</v>
      </c>
      <c r="T21" s="1">
        <v>0</v>
      </c>
      <c r="U21" s="5">
        <v>15</v>
      </c>
      <c r="V21" s="5">
        <v>15</v>
      </c>
      <c r="W21" s="1">
        <v>120000</v>
      </c>
      <c r="X21" s="1">
        <v>120000</v>
      </c>
      <c r="Y21" s="1">
        <v>18000</v>
      </c>
      <c r="Z21" s="8" t="s">
        <v>86</v>
      </c>
      <c r="AA21" s="1"/>
      <c r="AB21" s="2" t="s">
        <v>55</v>
      </c>
    </row>
    <row r="22" customHeight="1" spans="3:28">
      <c r="C22" s="1">
        <v>16</v>
      </c>
      <c r="D22" s="1">
        <v>0</v>
      </c>
      <c r="E22" s="1">
        <v>2</v>
      </c>
      <c r="F22" s="1" t="s">
        <v>48</v>
      </c>
      <c r="G22" s="1">
        <v>4</v>
      </c>
      <c r="H22" s="7" t="s">
        <v>72</v>
      </c>
      <c r="I22" s="7" t="s">
        <v>84</v>
      </c>
      <c r="J22" s="7" t="s">
        <v>85</v>
      </c>
      <c r="K22" s="1">
        <f t="shared" si="8"/>
        <v>850</v>
      </c>
      <c r="L22" s="1">
        <f t="shared" si="9"/>
        <v>460</v>
      </c>
      <c r="M22" s="1">
        <f t="shared" si="6"/>
        <v>20</v>
      </c>
      <c r="N22" s="1">
        <f t="shared" si="7"/>
        <v>40</v>
      </c>
      <c r="O22" s="1">
        <f t="shared" si="10"/>
        <v>96</v>
      </c>
      <c r="P22" s="1">
        <f t="shared" si="11"/>
        <v>98</v>
      </c>
      <c r="Q22" s="1">
        <v>0</v>
      </c>
      <c r="R22" s="1">
        <v>0</v>
      </c>
      <c r="S22" s="1">
        <v>0</v>
      </c>
      <c r="T22" s="1">
        <v>0</v>
      </c>
      <c r="U22" s="5">
        <v>16</v>
      </c>
      <c r="V22" s="5">
        <v>16</v>
      </c>
      <c r="W22" s="1">
        <v>140000</v>
      </c>
      <c r="X22" s="1">
        <v>140000</v>
      </c>
      <c r="Y22" s="1">
        <v>18000</v>
      </c>
      <c r="Z22" s="7" t="s">
        <v>78</v>
      </c>
      <c r="AA22" s="1"/>
      <c r="AB22" s="2" t="s">
        <v>55</v>
      </c>
    </row>
    <row r="23" customHeight="1" spans="3:28">
      <c r="C23" s="1">
        <v>17</v>
      </c>
      <c r="D23" s="1">
        <v>0</v>
      </c>
      <c r="E23" s="1">
        <v>2</v>
      </c>
      <c r="F23" s="1" t="s">
        <v>52</v>
      </c>
      <c r="G23" s="1">
        <v>5</v>
      </c>
      <c r="H23" s="7" t="s">
        <v>72</v>
      </c>
      <c r="I23" s="7" t="s">
        <v>84</v>
      </c>
      <c r="J23" s="7" t="s">
        <v>85</v>
      </c>
      <c r="K23" s="1">
        <f t="shared" si="8"/>
        <v>1000</v>
      </c>
      <c r="L23" s="1">
        <f t="shared" si="9"/>
        <v>530</v>
      </c>
      <c r="M23" s="1">
        <f t="shared" si="6"/>
        <v>25</v>
      </c>
      <c r="N23" s="1">
        <f t="shared" si="7"/>
        <v>50</v>
      </c>
      <c r="O23" s="1">
        <f t="shared" si="10"/>
        <v>102</v>
      </c>
      <c r="P23" s="1">
        <f t="shared" si="11"/>
        <v>104</v>
      </c>
      <c r="Q23" s="1">
        <v>0</v>
      </c>
      <c r="R23" s="1">
        <v>0</v>
      </c>
      <c r="S23" s="1">
        <v>0</v>
      </c>
      <c r="T23" s="1">
        <v>0</v>
      </c>
      <c r="U23" s="5">
        <v>17</v>
      </c>
      <c r="V23" s="5">
        <v>17</v>
      </c>
      <c r="W23" s="1">
        <v>160000</v>
      </c>
      <c r="X23" s="1">
        <v>160000</v>
      </c>
      <c r="Y23" s="1">
        <v>18000</v>
      </c>
      <c r="Z23" s="7" t="s">
        <v>82</v>
      </c>
      <c r="AA23" s="1"/>
      <c r="AB23" s="2" t="s">
        <v>55</v>
      </c>
    </row>
    <row r="24" customHeight="1" spans="3:28">
      <c r="C24" s="1">
        <v>18</v>
      </c>
      <c r="D24" s="1">
        <v>0</v>
      </c>
      <c r="E24" s="1">
        <v>2</v>
      </c>
      <c r="F24" s="1" t="s">
        <v>56</v>
      </c>
      <c r="G24" s="1">
        <v>6</v>
      </c>
      <c r="H24" s="7" t="s">
        <v>72</v>
      </c>
      <c r="I24" s="7" t="s">
        <v>84</v>
      </c>
      <c r="J24" s="7" t="s">
        <v>85</v>
      </c>
      <c r="K24" s="1">
        <f t="shared" si="8"/>
        <v>1150</v>
      </c>
      <c r="L24" s="1">
        <f t="shared" si="9"/>
        <v>600</v>
      </c>
      <c r="M24" s="1">
        <f t="shared" si="6"/>
        <v>30</v>
      </c>
      <c r="N24" s="1">
        <f t="shared" si="7"/>
        <v>60</v>
      </c>
      <c r="O24" s="1">
        <f t="shared" si="10"/>
        <v>108</v>
      </c>
      <c r="P24" s="1">
        <f t="shared" si="11"/>
        <v>110</v>
      </c>
      <c r="Q24" s="1">
        <v>0</v>
      </c>
      <c r="R24" s="1">
        <v>0</v>
      </c>
      <c r="S24" s="1">
        <v>0</v>
      </c>
      <c r="T24" s="1">
        <v>0</v>
      </c>
      <c r="U24" s="5">
        <v>18</v>
      </c>
      <c r="V24" s="5">
        <v>18</v>
      </c>
      <c r="W24" s="1">
        <v>180000</v>
      </c>
      <c r="X24" s="1">
        <v>180000</v>
      </c>
      <c r="Y24" s="1">
        <v>18000</v>
      </c>
      <c r="Z24" s="8" t="s">
        <v>86</v>
      </c>
      <c r="AA24" s="1"/>
      <c r="AB24" s="2" t="s">
        <v>55</v>
      </c>
    </row>
    <row r="25" customHeight="1" spans="3:28">
      <c r="C25" s="1">
        <v>19</v>
      </c>
      <c r="D25" s="1">
        <v>0</v>
      </c>
      <c r="E25" s="1">
        <v>2</v>
      </c>
      <c r="F25" s="1" t="s">
        <v>60</v>
      </c>
      <c r="G25" s="1">
        <v>7</v>
      </c>
      <c r="H25" s="7" t="s">
        <v>72</v>
      </c>
      <c r="I25" s="7" t="s">
        <v>84</v>
      </c>
      <c r="J25" s="7" t="s">
        <v>85</v>
      </c>
      <c r="K25" s="1">
        <f t="shared" si="8"/>
        <v>1300</v>
      </c>
      <c r="L25" s="1">
        <f t="shared" si="9"/>
        <v>670</v>
      </c>
      <c r="M25" s="1">
        <f t="shared" si="6"/>
        <v>35</v>
      </c>
      <c r="N25" s="1">
        <f t="shared" si="7"/>
        <v>70</v>
      </c>
      <c r="O25" s="1">
        <f t="shared" si="10"/>
        <v>114</v>
      </c>
      <c r="P25" s="1">
        <f t="shared" si="11"/>
        <v>116</v>
      </c>
      <c r="Q25" s="1">
        <v>0</v>
      </c>
      <c r="R25" s="1">
        <v>0</v>
      </c>
      <c r="S25" s="1">
        <v>0</v>
      </c>
      <c r="T25" s="1">
        <v>0</v>
      </c>
      <c r="U25" s="5">
        <v>19</v>
      </c>
      <c r="V25" s="5">
        <v>19</v>
      </c>
      <c r="W25" s="1">
        <v>200000</v>
      </c>
      <c r="X25" s="1">
        <v>200000</v>
      </c>
      <c r="Y25" s="1">
        <v>18000</v>
      </c>
      <c r="Z25" s="7" t="s">
        <v>78</v>
      </c>
      <c r="AA25" s="1"/>
      <c r="AB25" s="2" t="s">
        <v>55</v>
      </c>
    </row>
    <row r="26" customHeight="1" spans="3:28">
      <c r="C26" s="1">
        <v>20</v>
      </c>
      <c r="D26" s="1">
        <v>0</v>
      </c>
      <c r="E26" s="1">
        <v>2</v>
      </c>
      <c r="F26" s="1" t="s">
        <v>65</v>
      </c>
      <c r="G26" s="1">
        <v>8</v>
      </c>
      <c r="H26" s="7" t="s">
        <v>72</v>
      </c>
      <c r="I26" s="7" t="s">
        <v>84</v>
      </c>
      <c r="J26" s="7" t="s">
        <v>85</v>
      </c>
      <c r="K26" s="1">
        <f t="shared" si="8"/>
        <v>1450</v>
      </c>
      <c r="L26" s="1">
        <f t="shared" si="9"/>
        <v>740</v>
      </c>
      <c r="M26" s="1">
        <f t="shared" si="6"/>
        <v>40</v>
      </c>
      <c r="N26" s="1">
        <f t="shared" si="7"/>
        <v>80</v>
      </c>
      <c r="O26" s="1">
        <f t="shared" si="10"/>
        <v>120</v>
      </c>
      <c r="P26" s="1">
        <f t="shared" si="11"/>
        <v>122</v>
      </c>
      <c r="Q26" s="1">
        <v>0</v>
      </c>
      <c r="R26" s="1">
        <v>0</v>
      </c>
      <c r="S26" s="1">
        <v>0</v>
      </c>
      <c r="T26" s="1">
        <v>0</v>
      </c>
      <c r="U26" s="5">
        <v>20</v>
      </c>
      <c r="V26" s="5">
        <v>20</v>
      </c>
      <c r="W26" s="1">
        <v>220000</v>
      </c>
      <c r="X26" s="1">
        <v>220000</v>
      </c>
      <c r="Y26" s="1">
        <v>18000</v>
      </c>
      <c r="Z26" s="7" t="s">
        <v>82</v>
      </c>
      <c r="AA26" s="1"/>
      <c r="AB26" s="2" t="s">
        <v>55</v>
      </c>
    </row>
    <row r="27" customHeight="1" spans="3:28">
      <c r="C27" s="1">
        <v>21</v>
      </c>
      <c r="D27" s="1">
        <v>0</v>
      </c>
      <c r="E27" s="1">
        <v>2</v>
      </c>
      <c r="F27" s="1" t="s">
        <v>70</v>
      </c>
      <c r="G27" s="1">
        <v>9</v>
      </c>
      <c r="H27" s="7" t="s">
        <v>72</v>
      </c>
      <c r="I27" s="7" t="s">
        <v>84</v>
      </c>
      <c r="J27" s="7" t="s">
        <v>85</v>
      </c>
      <c r="K27" s="1">
        <f t="shared" si="8"/>
        <v>1600</v>
      </c>
      <c r="L27" s="1">
        <f t="shared" si="9"/>
        <v>810</v>
      </c>
      <c r="M27" s="1">
        <f t="shared" si="6"/>
        <v>45</v>
      </c>
      <c r="N27" s="1">
        <f t="shared" si="7"/>
        <v>90</v>
      </c>
      <c r="O27" s="1">
        <f t="shared" si="10"/>
        <v>126</v>
      </c>
      <c r="P27" s="1">
        <f t="shared" si="11"/>
        <v>128</v>
      </c>
      <c r="Q27" s="1">
        <v>0</v>
      </c>
      <c r="R27" s="1">
        <v>0</v>
      </c>
      <c r="S27" s="1">
        <v>0</v>
      </c>
      <c r="T27" s="1">
        <v>0</v>
      </c>
      <c r="U27" s="5">
        <v>21</v>
      </c>
      <c r="V27" s="5">
        <v>21</v>
      </c>
      <c r="W27" s="1">
        <v>240000</v>
      </c>
      <c r="X27" s="1">
        <v>240000</v>
      </c>
      <c r="Y27" s="1">
        <v>18000</v>
      </c>
      <c r="Z27" s="8" t="s">
        <v>86</v>
      </c>
      <c r="AA27" s="1"/>
      <c r="AB27" s="2" t="s">
        <v>55</v>
      </c>
    </row>
    <row r="28" customHeight="1" spans="3:28">
      <c r="C28" s="1">
        <v>22</v>
      </c>
      <c r="D28" s="1">
        <v>0</v>
      </c>
      <c r="E28" s="1">
        <v>2</v>
      </c>
      <c r="F28" s="1" t="s">
        <v>75</v>
      </c>
      <c r="G28" s="1">
        <v>10</v>
      </c>
      <c r="H28" s="7" t="s">
        <v>72</v>
      </c>
      <c r="I28" s="7" t="s">
        <v>84</v>
      </c>
      <c r="J28" s="7" t="s">
        <v>85</v>
      </c>
      <c r="K28" s="1">
        <f t="shared" si="8"/>
        <v>1750</v>
      </c>
      <c r="L28" s="1">
        <f t="shared" si="9"/>
        <v>880</v>
      </c>
      <c r="M28" s="1">
        <f t="shared" si="6"/>
        <v>50</v>
      </c>
      <c r="N28" s="1">
        <f t="shared" si="7"/>
        <v>100</v>
      </c>
      <c r="O28" s="1">
        <f t="shared" si="10"/>
        <v>132</v>
      </c>
      <c r="P28" s="1">
        <f t="shared" si="11"/>
        <v>134</v>
      </c>
      <c r="Q28" s="1">
        <v>0</v>
      </c>
      <c r="R28" s="1">
        <v>0</v>
      </c>
      <c r="S28" s="1">
        <v>0</v>
      </c>
      <c r="T28" s="1">
        <v>0</v>
      </c>
      <c r="U28" s="5">
        <v>22</v>
      </c>
      <c r="V28" s="5">
        <v>22</v>
      </c>
      <c r="W28" s="1">
        <v>260000</v>
      </c>
      <c r="X28" s="1">
        <v>260000</v>
      </c>
      <c r="Y28" s="1">
        <v>18000</v>
      </c>
      <c r="Z28" s="7" t="s">
        <v>78</v>
      </c>
      <c r="AA28" s="1"/>
      <c r="AB28" s="2" t="s">
        <v>55</v>
      </c>
    </row>
    <row r="29" customHeight="1" spans="3:28">
      <c r="C29" s="1">
        <v>23</v>
      </c>
      <c r="D29" s="1">
        <v>0</v>
      </c>
      <c r="E29" s="1">
        <v>2</v>
      </c>
      <c r="F29" s="1" t="s">
        <v>79</v>
      </c>
      <c r="G29" s="1">
        <v>11</v>
      </c>
      <c r="H29" s="7" t="s">
        <v>72</v>
      </c>
      <c r="I29" s="7" t="s">
        <v>84</v>
      </c>
      <c r="J29" s="7" t="s">
        <v>85</v>
      </c>
      <c r="K29" s="1">
        <f t="shared" si="8"/>
        <v>1900</v>
      </c>
      <c r="L29" s="1">
        <f t="shared" si="9"/>
        <v>950</v>
      </c>
      <c r="M29" s="1">
        <f t="shared" si="6"/>
        <v>55</v>
      </c>
      <c r="N29" s="1">
        <f t="shared" si="7"/>
        <v>110</v>
      </c>
      <c r="O29" s="1">
        <f t="shared" si="10"/>
        <v>138</v>
      </c>
      <c r="P29" s="1">
        <f t="shared" si="11"/>
        <v>140</v>
      </c>
      <c r="Q29" s="1">
        <v>0</v>
      </c>
      <c r="R29" s="1">
        <v>0</v>
      </c>
      <c r="S29" s="1">
        <v>0</v>
      </c>
      <c r="T29" s="1">
        <v>0</v>
      </c>
      <c r="U29" s="5">
        <v>23</v>
      </c>
      <c r="V29" s="5">
        <v>23</v>
      </c>
      <c r="W29" s="1">
        <v>280000</v>
      </c>
      <c r="X29" s="1">
        <v>280000</v>
      </c>
      <c r="Y29" s="1">
        <v>18000</v>
      </c>
      <c r="Z29" s="7" t="s">
        <v>82</v>
      </c>
      <c r="AA29" s="1"/>
      <c r="AB29" s="2" t="s">
        <v>55</v>
      </c>
    </row>
    <row r="30" customHeight="1" spans="3:28">
      <c r="C30" s="1">
        <v>24</v>
      </c>
      <c r="D30" s="1">
        <v>0</v>
      </c>
      <c r="E30" s="1">
        <v>2</v>
      </c>
      <c r="F30" s="1" t="s">
        <v>83</v>
      </c>
      <c r="G30" s="1">
        <v>12</v>
      </c>
      <c r="H30" s="7" t="s">
        <v>72</v>
      </c>
      <c r="I30" s="7" t="s">
        <v>84</v>
      </c>
      <c r="J30" s="7" t="s">
        <v>85</v>
      </c>
      <c r="K30" s="1">
        <f t="shared" si="8"/>
        <v>2050</v>
      </c>
      <c r="L30" s="1">
        <f t="shared" si="9"/>
        <v>1020</v>
      </c>
      <c r="M30" s="1">
        <f t="shared" si="6"/>
        <v>60</v>
      </c>
      <c r="N30" s="1">
        <f t="shared" si="7"/>
        <v>120</v>
      </c>
      <c r="O30" s="1">
        <f t="shared" si="10"/>
        <v>144</v>
      </c>
      <c r="P30" s="1">
        <f t="shared" si="11"/>
        <v>146</v>
      </c>
      <c r="Q30" s="1">
        <v>0</v>
      </c>
      <c r="R30" s="1">
        <v>0</v>
      </c>
      <c r="S30" s="1">
        <v>0</v>
      </c>
      <c r="T30" s="1">
        <v>0</v>
      </c>
      <c r="U30" s="5">
        <v>24</v>
      </c>
      <c r="V30" s="5">
        <v>24</v>
      </c>
      <c r="W30" s="1">
        <v>300000</v>
      </c>
      <c r="X30" s="1">
        <v>300000</v>
      </c>
      <c r="Y30" s="1">
        <v>18000</v>
      </c>
      <c r="Z30" s="8" t="s">
        <v>86</v>
      </c>
      <c r="AA30" s="1"/>
      <c r="AB30" s="2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2026-09-14T09:26:36Z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