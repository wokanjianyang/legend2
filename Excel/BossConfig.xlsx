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<sst xmlns="http://schemas.openxmlformats.org/spreadsheetml/2006/main" count="108" uniqueCount="54">
  <si>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</si>
  <si>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</si>
  <si>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</si>
  <si>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</si>
  <si>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</si>
  <si>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</si>
  <si>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</si>
  <si>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</si>
  <si>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</si>
  <si>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</si>
  <si>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</si>
  <si>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</si>
  <si>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</si>
  <si>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</si>
  <si>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</si>
  <si>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</si>
  <si>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</si>
  <si>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</si>
  <si>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</si>
  <si>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</si>
  <si>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</si>
  <si>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</si>
  <si>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</si>
  <si>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</si>
  <si>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</si>
  <si>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</si>
  <si>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</si>
  <si>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</si>
  <si>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</si>
  <si>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</si>
  <si>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</si>
  <si>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</si>
  <si>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</si>
  <si>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</si>
  <si>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</si>
  <si>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</si>
  <si>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</si>
  <si>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</si>
  <si>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</si>
  <si>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</si>
  <si>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</si>
  <si>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</si>
  <si>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双翼狮王</t>
  </si>
  <si>
    <t>三头巨鳄</t>
  </si>
  <si>
    <t>腐尸君主</t>
  </si>
  <si>
    <t>梦魇鹿神</t>
  </si>
  <si>
    <t>不朽骨龙</t>
  </si>
  <si>
    <t>蛮鬃酋长</t>
  </si>
  <si>
    <t>炎魔领主</t>
  </si>
  <si>
    <t>冰霜巨龙</t>
  </si>
  <si>
    <t>痛苦女王</t>
  </si>
  <si>
    <t>野蛮酋长</t>
  </si>
  <si>
    <t>终末主宰</t>
  </si>
  <si>
    <t>毁灭之王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</si>
</sst>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8"/>
  <sheetViews>
    <sheetView tabSelected="1" workbookViewId="0">
      <selection activeCell="E24" sqref="E24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0" width="11" style="2" customWidth="1"/>
    <col min="11" max="11" width="13.6666666666667" style="2" customWidth="1"/>
    <col min="12" max="12" width="11.1666666666667" style="2" customWidth="1"/>
    <col min="13" max="13" width="10" style="2" customWidth="1"/>
    <col min="14" max="14" width="10.25" style="2" customWidth="1"/>
    <col min="15" max="15" width="5.66666666666667" style="2" customWidth="1"/>
    <col min="16" max="16" width="6.83333333333333" style="2" customWidth="1"/>
    <col min="17" max="17" width="8.75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26" width="9" style="2"/>
    <col min="27" max="28" width="7.16666666666667" style="2" customWidth="1"/>
    <col min="29" max="29" width="8.41666666666667" style="2" customWidth="1"/>
    <col min="30" max="30" width="6.08333333333333" style="2" customWidth="1"/>
    <col min="31" max="31" width="2.91666666666667" style="2" customWidth="1"/>
    <col min="32" max="32" width="5.33333333333333" style="2" customWidth="1"/>
    <col min="33" max="16384" width="9" style="2"/>
  </cols>
  <sheetData>
    <row r="1" s="1" customFormat="1" customHeight="1" spans="1:32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1" t="s">
        <v>0</v>
      </c>
      <c r="AA1" s="2" t="s">
        <v>0</v>
      </c>
      <c r="AB1" s="2" t="s">
        <v>0</v>
      </c>
      <c r="AC1" s="2" t="s">
        <v>0</v>
      </c>
      <c r="AD1" s="1" t="s">
        <v>0</v>
      </c>
      <c r="AE1" s="1" t="s">
        <v>0</v>
      </c>
      <c r="AF1" s="1" t="s">
        <v>0</v>
      </c>
    </row>
    <row r="2" s="1" customFormat="1" customHeight="1" spans="1:32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1" t="s">
        <v>0</v>
      </c>
      <c r="AA2" s="2" t="s">
        <v>0</v>
      </c>
      <c r="AB2" s="2" t="s">
        <v>0</v>
      </c>
      <c r="AC2" s="2" t="s">
        <v>0</v>
      </c>
      <c r="AD2" s="1" t="s">
        <v>0</v>
      </c>
      <c r="AE2" s="1" t="s">
        <v>0</v>
      </c>
      <c r="AF2" s="1" t="s">
        <v>0</v>
      </c>
    </row>
    <row r="3" s="1" customFormat="1" customHeight="1" spans="1:32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2">
      <c r="A4" s="2"/>
      <c r="B4" s="2"/>
      <c r="C4" s="4" t="s">
        <v>31</v>
      </c>
      <c r="D4" s="4" t="s">
        <v>32</v>
      </c>
      <c r="E4" s="4" t="s">
        <v>3</v>
      </c>
      <c r="F4" s="4" t="s">
        <v>33</v>
      </c>
      <c r="G4" s="4" t="s">
        <v>5</v>
      </c>
      <c r="H4" s="4" t="s">
        <v>34</v>
      </c>
      <c r="I4" s="4" t="s">
        <v>35</v>
      </c>
      <c r="J4" s="4" t="s">
        <v>36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37</v>
      </c>
      <c r="W4" s="4" t="s">
        <v>38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</row>
    <row r="5" s="1" customFormat="1" customHeight="1" spans="1:32">
      <c r="A5" s="2"/>
      <c r="B5" s="2"/>
      <c r="C5" s="4" t="s">
        <v>39</v>
      </c>
      <c r="D5" s="4" t="s">
        <v>39</v>
      </c>
      <c r="E5" s="4" t="s">
        <v>39</v>
      </c>
      <c r="F5" s="4" t="s">
        <v>40</v>
      </c>
      <c r="G5" s="4" t="s">
        <v>39</v>
      </c>
      <c r="H5" s="4" t="s">
        <v>40</v>
      </c>
      <c r="I5" s="4" t="s">
        <v>40</v>
      </c>
      <c r="J5" s="4" t="s">
        <v>40</v>
      </c>
      <c r="K5" s="4" t="s">
        <v>39</v>
      </c>
      <c r="L5" s="4" t="s">
        <v>39</v>
      </c>
      <c r="M5" s="4" t="s">
        <v>39</v>
      </c>
      <c r="N5" s="4" t="s">
        <v>39</v>
      </c>
      <c r="O5" s="4" t="s">
        <v>39</v>
      </c>
      <c r="P5" s="4" t="s">
        <v>39</v>
      </c>
      <c r="Q5" s="4" t="s">
        <v>39</v>
      </c>
      <c r="R5" s="4" t="s">
        <v>39</v>
      </c>
      <c r="S5" s="4" t="s">
        <v>39</v>
      </c>
      <c r="T5" s="4" t="s">
        <v>39</v>
      </c>
      <c r="U5" s="4" t="s">
        <v>39</v>
      </c>
      <c r="V5" s="4" t="s">
        <v>41</v>
      </c>
      <c r="W5" s="4" t="s">
        <v>41</v>
      </c>
      <c r="Z5" s="2"/>
      <c r="AA5" s="2"/>
      <c r="AB5" s="2"/>
      <c r="AC5" s="2"/>
      <c r="AD5" s="4" t="s">
        <v>40</v>
      </c>
      <c r="AE5" s="4" t="s">
        <v>40</v>
      </c>
      <c r="AF5" s="4" t="s">
        <v>40</v>
      </c>
    </row>
    <row r="6" s="1" customFormat="1" customHeight="1" spans="1:32">
      <c r="C6" s="1">
        <v>1</v>
      </c>
      <c r="D6" s="1">
        <v>0</v>
      </c>
      <c r="E6" s="1">
        <v>1</v>
      </c>
      <c r="F6" s="1" t="s">
        <v>42</v>
      </c>
      <c r="G6" s="1">
        <v>1</v>
      </c>
      <c r="H6" s="1">
        <v>5</v>
      </c>
      <c r="I6" s="1">
        <f t="shared" ref="I6:I45" si="0">Y6*Z6/2</f>
        <v>50</v>
      </c>
      <c r="J6" s="1">
        <f t="shared" ref="J6:J45" si="1">Y6*Z6*100</f>
        <v>10000</v>
      </c>
      <c r="K6" s="1">
        <f t="shared" ref="K6:K45" si="2">Y6*6</f>
        <v>6</v>
      </c>
      <c r="L6" s="1">
        <f t="shared" ref="L6:L45" si="3">Y6*4</f>
        <v>4</v>
      </c>
      <c r="M6" s="1">
        <f t="shared" ref="M6:M45" si="4">Y6*3</f>
        <v>3</v>
      </c>
      <c r="N6" s="1">
        <f t="shared" ref="N6:N45" si="5">Y6*5</f>
        <v>5</v>
      </c>
      <c r="O6" s="5">
        <v>1</v>
      </c>
      <c r="P6" s="5">
        <v>1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f t="shared" ref="V6:V45" si="6">X6*100</f>
        <v>1000</v>
      </c>
      <c r="W6" s="1">
        <f t="shared" ref="W6:W45" si="7">X6*100</f>
        <v>1000</v>
      </c>
      <c r="X6" s="1">
        <v>10</v>
      </c>
      <c r="Y6" s="1">
        <v>1</v>
      </c>
      <c r="Z6" s="2">
        <v>100</v>
      </c>
      <c r="AA6" s="2">
        <v>1</v>
      </c>
      <c r="AB6" s="2">
        <v>0</v>
      </c>
      <c r="AC6" s="2">
        <v>10</v>
      </c>
      <c r="AD6" s="1">
        <v>0</v>
      </c>
      <c r="AF6" s="1">
        <v>0</v>
      </c>
    </row>
    <row r="7" customHeight="1" spans="1:32">
      <c r="C7" s="1">
        <v>2</v>
      </c>
      <c r="D7" s="1">
        <v>0</v>
      </c>
      <c r="E7" s="1">
        <v>1</v>
      </c>
      <c r="F7" s="1" t="s">
        <v>43</v>
      </c>
      <c r="G7" s="1">
        <v>2</v>
      </c>
      <c r="H7" s="1">
        <f t="shared" ref="H7:H45" si="8">Y7*Z7*AA7/4</f>
        <v>55</v>
      </c>
      <c r="I7" s="1">
        <f t="shared" si="0"/>
        <v>110</v>
      </c>
      <c r="J7" s="1">
        <f t="shared" si="1"/>
        <v>22000</v>
      </c>
      <c r="K7" s="1">
        <f t="shared" si="2"/>
        <v>12</v>
      </c>
      <c r="L7" s="1">
        <f t="shared" si="3"/>
        <v>8</v>
      </c>
      <c r="M7" s="1">
        <f t="shared" si="4"/>
        <v>6</v>
      </c>
      <c r="N7" s="1">
        <f t="shared" si="5"/>
        <v>10</v>
      </c>
      <c r="O7" s="5">
        <v>2</v>
      </c>
      <c r="P7" s="5">
        <v>10</v>
      </c>
      <c r="Q7" s="1">
        <v>1</v>
      </c>
      <c r="R7" s="1">
        <v>0</v>
      </c>
      <c r="S7" s="1">
        <v>0</v>
      </c>
      <c r="T7" s="5">
        <v>1</v>
      </c>
      <c r="U7" s="5">
        <v>1</v>
      </c>
      <c r="V7" s="1">
        <f t="shared" si="6"/>
        <v>1100</v>
      </c>
      <c r="W7" s="1">
        <f t="shared" si="7"/>
        <v>1100</v>
      </c>
      <c r="X7" s="1">
        <v>11</v>
      </c>
      <c r="Y7" s="1">
        <v>2</v>
      </c>
      <c r="Z7" s="2">
        <f t="shared" ref="Z7:Z16" si="9">Z6+10</f>
        <v>110</v>
      </c>
      <c r="AA7" s="2">
        <v>1</v>
      </c>
      <c r="AB7" s="2">
        <v>1</v>
      </c>
      <c r="AC7" s="2">
        <f t="shared" ref="AC7:AC10" si="10">AC6+5</f>
        <v>15</v>
      </c>
      <c r="AD7" s="1">
        <v>0</v>
      </c>
      <c r="AE7" s="1"/>
      <c r="AF7" s="1">
        <v>0</v>
      </c>
    </row>
    <row r="8" customHeight="1" spans="1:32">
      <c r="C8" s="1">
        <v>3</v>
      </c>
      <c r="D8" s="1">
        <v>0</v>
      </c>
      <c r="E8" s="1">
        <v>1</v>
      </c>
      <c r="F8" s="1" t="s">
        <v>44</v>
      </c>
      <c r="G8" s="1">
        <v>3</v>
      </c>
      <c r="H8" s="1">
        <f t="shared" si="8"/>
        <v>90</v>
      </c>
      <c r="I8" s="1">
        <f t="shared" si="0"/>
        <v>180</v>
      </c>
      <c r="J8" s="1">
        <f t="shared" si="1"/>
        <v>36000</v>
      </c>
      <c r="K8" s="1">
        <f t="shared" si="2"/>
        <v>18</v>
      </c>
      <c r="L8" s="1">
        <f t="shared" si="3"/>
        <v>12</v>
      </c>
      <c r="M8" s="1">
        <f t="shared" si="4"/>
        <v>9</v>
      </c>
      <c r="N8" s="1">
        <f t="shared" si="5"/>
        <v>15</v>
      </c>
      <c r="O8" s="5">
        <v>3</v>
      </c>
      <c r="P8" s="2">
        <f t="shared" ref="P8:P27" si="11">P7+2</f>
        <v>12</v>
      </c>
      <c r="Q8" s="1">
        <v>2</v>
      </c>
      <c r="R8" s="1">
        <v>0</v>
      </c>
      <c r="S8" s="1">
        <v>0</v>
      </c>
      <c r="T8" s="5">
        <v>1</v>
      </c>
      <c r="U8" s="5">
        <v>1</v>
      </c>
      <c r="V8" s="1">
        <f t="shared" si="6"/>
        <v>1200</v>
      </c>
      <c r="W8" s="1">
        <f t="shared" si="7"/>
        <v>1200</v>
      </c>
      <c r="X8" s="1">
        <v>12</v>
      </c>
      <c r="Y8" s="1">
        <v>3</v>
      </c>
      <c r="Z8" s="2">
        <f t="shared" si="9"/>
        <v>120</v>
      </c>
      <c r="AA8" s="2">
        <v>1</v>
      </c>
      <c r="AB8" s="2">
        <v>2</v>
      </c>
      <c r="AC8" s="2">
        <f t="shared" si="10"/>
        <v>20</v>
      </c>
      <c r="AD8" s="1">
        <v>0</v>
      </c>
      <c r="AE8" s="1"/>
      <c r="AF8" s="1">
        <v>0</v>
      </c>
    </row>
    <row r="9" customHeight="1" spans="1:32">
      <c r="C9" s="1">
        <v>4</v>
      </c>
      <c r="D9" s="1">
        <v>0</v>
      </c>
      <c r="E9" s="1">
        <v>1</v>
      </c>
      <c r="F9" s="1" t="s">
        <v>45</v>
      </c>
      <c r="G9" s="1">
        <v>4</v>
      </c>
      <c r="H9" s="1">
        <f t="shared" si="8"/>
        <v>130</v>
      </c>
      <c r="I9" s="1">
        <f t="shared" si="0"/>
        <v>260</v>
      </c>
      <c r="J9" s="1">
        <f t="shared" si="1"/>
        <v>52000</v>
      </c>
      <c r="K9" s="1">
        <f t="shared" si="2"/>
        <v>24</v>
      </c>
      <c r="L9" s="1">
        <f t="shared" si="3"/>
        <v>16</v>
      </c>
      <c r="M9" s="1">
        <f t="shared" si="4"/>
        <v>12</v>
      </c>
      <c r="N9" s="1">
        <f t="shared" si="5"/>
        <v>20</v>
      </c>
      <c r="O9" s="5">
        <v>4</v>
      </c>
      <c r="P9" s="2">
        <f t="shared" si="11"/>
        <v>14</v>
      </c>
      <c r="Q9" s="1">
        <v>3</v>
      </c>
      <c r="R9" s="1">
        <v>0</v>
      </c>
      <c r="S9" s="1">
        <v>0</v>
      </c>
      <c r="T9" s="5">
        <v>1</v>
      </c>
      <c r="U9" s="5">
        <v>1</v>
      </c>
      <c r="V9" s="1">
        <f t="shared" si="6"/>
        <v>1300</v>
      </c>
      <c r="W9" s="1">
        <f t="shared" si="7"/>
        <v>1300</v>
      </c>
      <c r="X9" s="1">
        <v>13</v>
      </c>
      <c r="Y9" s="1">
        <v>4</v>
      </c>
      <c r="Z9" s="2">
        <f t="shared" si="9"/>
        <v>130</v>
      </c>
      <c r="AA9" s="2">
        <v>1</v>
      </c>
      <c r="AB9" s="2">
        <v>3</v>
      </c>
      <c r="AC9" s="2">
        <f t="shared" si="10"/>
        <v>25</v>
      </c>
      <c r="AD9" s="1">
        <v>0</v>
      </c>
      <c r="AE9" s="1"/>
      <c r="AF9" s="1">
        <v>0</v>
      </c>
    </row>
    <row r="10" customHeight="1" spans="1:32">
      <c r="C10" s="1">
        <v>5</v>
      </c>
      <c r="D10" s="1">
        <v>0</v>
      </c>
      <c r="E10" s="1">
        <v>1</v>
      </c>
      <c r="F10" s="1" t="s">
        <v>46</v>
      </c>
      <c r="G10" s="1">
        <v>5</v>
      </c>
      <c r="H10" s="1">
        <f t="shared" si="8"/>
        <v>175</v>
      </c>
      <c r="I10" s="1">
        <f t="shared" si="0"/>
        <v>350</v>
      </c>
      <c r="J10" s="1">
        <f t="shared" si="1"/>
        <v>70000</v>
      </c>
      <c r="K10" s="1">
        <f t="shared" si="2"/>
        <v>30</v>
      </c>
      <c r="L10" s="1">
        <f t="shared" si="3"/>
        <v>20</v>
      </c>
      <c r="M10" s="1">
        <f t="shared" si="4"/>
        <v>15</v>
      </c>
      <c r="N10" s="1">
        <f t="shared" si="5"/>
        <v>25</v>
      </c>
      <c r="O10" s="5">
        <v>5</v>
      </c>
      <c r="P10" s="2">
        <f t="shared" si="11"/>
        <v>16</v>
      </c>
      <c r="Q10" s="1">
        <v>4</v>
      </c>
      <c r="R10" s="1">
        <v>0</v>
      </c>
      <c r="S10" s="1">
        <v>0</v>
      </c>
      <c r="T10" s="5">
        <v>1</v>
      </c>
      <c r="U10" s="5">
        <v>1</v>
      </c>
      <c r="V10" s="1">
        <f t="shared" si="6"/>
        <v>1400</v>
      </c>
      <c r="W10" s="1">
        <f t="shared" si="7"/>
        <v>1400</v>
      </c>
      <c r="X10" s="1">
        <v>14</v>
      </c>
      <c r="Y10" s="1">
        <v>5</v>
      </c>
      <c r="Z10" s="2">
        <f t="shared" si="9"/>
        <v>140</v>
      </c>
      <c r="AA10" s="2">
        <v>1</v>
      </c>
      <c r="AB10" s="2">
        <v>4</v>
      </c>
      <c r="AC10" s="2">
        <f t="shared" si="10"/>
        <v>30</v>
      </c>
      <c r="AD10" s="1">
        <v>0</v>
      </c>
      <c r="AE10" s="1"/>
      <c r="AF10" s="1">
        <v>0</v>
      </c>
    </row>
    <row r="11" customHeight="1" spans="1:32">
      <c r="C11" s="1">
        <v>6</v>
      </c>
      <c r="D11" s="1">
        <v>0</v>
      </c>
      <c r="E11" s="1">
        <v>1</v>
      </c>
      <c r="F11" s="1" t="s">
        <v>47</v>
      </c>
      <c r="G11" s="1">
        <v>6</v>
      </c>
      <c r="H11" s="1">
        <f t="shared" si="8"/>
        <v>450</v>
      </c>
      <c r="I11" s="1">
        <f t="shared" si="0"/>
        <v>450</v>
      </c>
      <c r="J11" s="1">
        <f t="shared" si="1"/>
        <v>90000</v>
      </c>
      <c r="K11" s="1">
        <f t="shared" si="2"/>
        <v>36</v>
      </c>
      <c r="L11" s="1">
        <f t="shared" si="3"/>
        <v>24</v>
      </c>
      <c r="M11" s="1">
        <f t="shared" si="4"/>
        <v>18</v>
      </c>
      <c r="N11" s="1">
        <f t="shared" si="5"/>
        <v>30</v>
      </c>
      <c r="O11" s="5">
        <v>6</v>
      </c>
      <c r="P11" s="2">
        <f t="shared" si="11"/>
        <v>18</v>
      </c>
      <c r="Q11" s="1">
        <v>5</v>
      </c>
      <c r="R11" s="1">
        <v>0</v>
      </c>
      <c r="S11" s="1">
        <v>0</v>
      </c>
      <c r="T11" s="5">
        <v>1</v>
      </c>
      <c r="U11" s="5">
        <v>1</v>
      </c>
      <c r="V11" s="1">
        <f t="shared" si="6"/>
        <v>1500</v>
      </c>
      <c r="W11" s="1">
        <f t="shared" si="7"/>
        <v>1500</v>
      </c>
      <c r="X11" s="1">
        <v>15</v>
      </c>
      <c r="Y11" s="1">
        <v>6</v>
      </c>
      <c r="Z11" s="2">
        <f t="shared" si="9"/>
        <v>150</v>
      </c>
      <c r="AA11" s="2">
        <v>2</v>
      </c>
      <c r="AB11" s="2">
        <v>5</v>
      </c>
      <c r="AC11" s="2">
        <f t="shared" ref="AC11:AC17" si="12">AC10+10</f>
        <v>40</v>
      </c>
      <c r="AD11" s="1">
        <v>0</v>
      </c>
      <c r="AE11" s="1"/>
      <c r="AF11" s="1">
        <v>0</v>
      </c>
    </row>
    <row r="12" customHeight="1" spans="1:32">
      <c r="C12" s="1">
        <v>7</v>
      </c>
      <c r="D12" s="1">
        <v>0</v>
      </c>
      <c r="E12" s="1">
        <v>1</v>
      </c>
      <c r="F12" s="1" t="s">
        <v>48</v>
      </c>
      <c r="G12" s="1">
        <v>7</v>
      </c>
      <c r="H12" s="1">
        <f t="shared" si="8"/>
        <v>560</v>
      </c>
      <c r="I12" s="1">
        <f t="shared" si="0"/>
        <v>560</v>
      </c>
      <c r="J12" s="1">
        <f t="shared" si="1"/>
        <v>112000</v>
      </c>
      <c r="K12" s="1">
        <f t="shared" si="2"/>
        <v>42</v>
      </c>
      <c r="L12" s="1">
        <f t="shared" si="3"/>
        <v>28</v>
      </c>
      <c r="M12" s="1">
        <f t="shared" si="4"/>
        <v>21</v>
      </c>
      <c r="N12" s="1">
        <f t="shared" si="5"/>
        <v>35</v>
      </c>
      <c r="O12" s="5">
        <v>7</v>
      </c>
      <c r="P12" s="2">
        <f t="shared" si="11"/>
        <v>20</v>
      </c>
      <c r="Q12" s="1">
        <v>6</v>
      </c>
      <c r="R12" s="1">
        <v>0</v>
      </c>
      <c r="S12" s="1">
        <v>0</v>
      </c>
      <c r="T12" s="5">
        <v>1</v>
      </c>
      <c r="U12" s="5">
        <v>1</v>
      </c>
      <c r="V12" s="1">
        <f t="shared" si="6"/>
        <v>1600</v>
      </c>
      <c r="W12" s="1">
        <f t="shared" si="7"/>
        <v>1600</v>
      </c>
      <c r="X12" s="1">
        <v>16</v>
      </c>
      <c r="Y12" s="1">
        <v>7</v>
      </c>
      <c r="Z12" s="2">
        <f t="shared" si="9"/>
        <v>160</v>
      </c>
      <c r="AA12" s="2">
        <v>2</v>
      </c>
      <c r="AB12" s="2">
        <v>6</v>
      </c>
      <c r="AC12" s="2">
        <f t="shared" si="12"/>
        <v>50</v>
      </c>
      <c r="AD12" s="1">
        <v>0</v>
      </c>
      <c r="AE12" s="1"/>
      <c r="AF12" s="1">
        <v>0</v>
      </c>
    </row>
    <row r="13" customHeight="1" spans="1:32">
      <c r="C13" s="1">
        <v>8</v>
      </c>
      <c r="D13" s="1">
        <v>0</v>
      </c>
      <c r="E13" s="1">
        <v>1</v>
      </c>
      <c r="F13" s="1" t="s">
        <v>49</v>
      </c>
      <c r="G13" s="1">
        <v>8</v>
      </c>
      <c r="H13" s="1">
        <f t="shared" si="8"/>
        <v>680</v>
      </c>
      <c r="I13" s="1">
        <f t="shared" si="0"/>
        <v>680</v>
      </c>
      <c r="J13" s="1">
        <f t="shared" si="1"/>
        <v>136000</v>
      </c>
      <c r="K13" s="1">
        <f t="shared" si="2"/>
        <v>48</v>
      </c>
      <c r="L13" s="1">
        <f t="shared" si="3"/>
        <v>32</v>
      </c>
      <c r="M13" s="1">
        <f t="shared" si="4"/>
        <v>24</v>
      </c>
      <c r="N13" s="1">
        <f t="shared" si="5"/>
        <v>40</v>
      </c>
      <c r="O13" s="5">
        <v>8</v>
      </c>
      <c r="P13" s="2">
        <f t="shared" si="11"/>
        <v>22</v>
      </c>
      <c r="Q13" s="1">
        <v>7</v>
      </c>
      <c r="R13" s="1">
        <v>0</v>
      </c>
      <c r="S13" s="1">
        <v>0</v>
      </c>
      <c r="T13" s="5">
        <v>1</v>
      </c>
      <c r="U13" s="5">
        <v>1</v>
      </c>
      <c r="V13" s="1">
        <f t="shared" si="6"/>
        <v>1700</v>
      </c>
      <c r="W13" s="1">
        <f t="shared" si="7"/>
        <v>1700</v>
      </c>
      <c r="X13" s="1">
        <v>17</v>
      </c>
      <c r="Y13" s="1">
        <v>8</v>
      </c>
      <c r="Z13" s="2">
        <f t="shared" si="9"/>
        <v>170</v>
      </c>
      <c r="AA13" s="2">
        <v>2</v>
      </c>
      <c r="AB13" s="2">
        <v>7</v>
      </c>
      <c r="AC13" s="2">
        <f t="shared" si="12"/>
        <v>60</v>
      </c>
      <c r="AD13" s="1">
        <v>0</v>
      </c>
      <c r="AE13" s="1"/>
      <c r="AF13" s="1">
        <v>0</v>
      </c>
    </row>
    <row r="14" customHeight="1" spans="1:32">
      <c r="C14" s="1">
        <v>9</v>
      </c>
      <c r="D14" s="1">
        <v>0</v>
      </c>
      <c r="E14" s="1">
        <v>1</v>
      </c>
      <c r="F14" s="1" t="s">
        <v>50</v>
      </c>
      <c r="G14" s="1">
        <v>9</v>
      </c>
      <c r="H14" s="1">
        <f t="shared" si="8"/>
        <v>810</v>
      </c>
      <c r="I14" s="1">
        <f t="shared" si="0"/>
        <v>810</v>
      </c>
      <c r="J14" s="1">
        <f t="shared" si="1"/>
        <v>162000</v>
      </c>
      <c r="K14" s="1">
        <f t="shared" si="2"/>
        <v>54</v>
      </c>
      <c r="L14" s="1">
        <f t="shared" si="3"/>
        <v>36</v>
      </c>
      <c r="M14" s="1">
        <f t="shared" si="4"/>
        <v>27</v>
      </c>
      <c r="N14" s="1">
        <f t="shared" si="5"/>
        <v>45</v>
      </c>
      <c r="O14" s="5">
        <v>9</v>
      </c>
      <c r="P14" s="2">
        <f t="shared" si="11"/>
        <v>24</v>
      </c>
      <c r="Q14" s="1">
        <v>8</v>
      </c>
      <c r="R14" s="1">
        <v>0</v>
      </c>
      <c r="S14" s="1">
        <v>0</v>
      </c>
      <c r="T14" s="5">
        <v>1</v>
      </c>
      <c r="U14" s="5">
        <v>1</v>
      </c>
      <c r="V14" s="1">
        <f t="shared" si="6"/>
        <v>1800</v>
      </c>
      <c r="W14" s="1">
        <f t="shared" si="7"/>
        <v>1800</v>
      </c>
      <c r="X14" s="1">
        <v>18</v>
      </c>
      <c r="Y14" s="1">
        <v>9</v>
      </c>
      <c r="Z14" s="2">
        <f t="shared" si="9"/>
        <v>180</v>
      </c>
      <c r="AA14" s="2">
        <v>2</v>
      </c>
      <c r="AB14" s="2">
        <v>8</v>
      </c>
      <c r="AC14" s="2">
        <f t="shared" si="12"/>
        <v>70</v>
      </c>
      <c r="AD14" s="1">
        <v>0</v>
      </c>
      <c r="AE14" s="1"/>
      <c r="AF14" s="1">
        <v>0</v>
      </c>
    </row>
    <row r="15" customHeight="1" spans="1:32">
      <c r="C15" s="1">
        <v>10</v>
      </c>
      <c r="D15" s="1">
        <v>0</v>
      </c>
      <c r="E15" s="1">
        <v>1</v>
      </c>
      <c r="F15" s="1" t="s">
        <v>51</v>
      </c>
      <c r="G15" s="1">
        <v>10</v>
      </c>
      <c r="H15" s="1">
        <f t="shared" si="8"/>
        <v>950</v>
      </c>
      <c r="I15" s="1">
        <f t="shared" si="0"/>
        <v>950</v>
      </c>
      <c r="J15" s="1">
        <f t="shared" si="1"/>
        <v>190000</v>
      </c>
      <c r="K15" s="1">
        <f t="shared" si="2"/>
        <v>60</v>
      </c>
      <c r="L15" s="1">
        <f t="shared" si="3"/>
        <v>40</v>
      </c>
      <c r="M15" s="1">
        <f t="shared" si="4"/>
        <v>30</v>
      </c>
      <c r="N15" s="1">
        <f t="shared" si="5"/>
        <v>50</v>
      </c>
      <c r="O15" s="5">
        <v>10</v>
      </c>
      <c r="P15" s="2">
        <f t="shared" si="11"/>
        <v>26</v>
      </c>
      <c r="Q15" s="1">
        <v>9</v>
      </c>
      <c r="R15" s="1">
        <v>0</v>
      </c>
      <c r="S15" s="1">
        <v>0</v>
      </c>
      <c r="T15" s="5">
        <v>1</v>
      </c>
      <c r="U15" s="5">
        <v>1</v>
      </c>
      <c r="V15" s="1">
        <f t="shared" si="6"/>
        <v>1900</v>
      </c>
      <c r="W15" s="1">
        <f t="shared" si="7"/>
        <v>1900</v>
      </c>
      <c r="X15" s="1">
        <v>19</v>
      </c>
      <c r="Y15" s="1">
        <v>10</v>
      </c>
      <c r="Z15" s="2">
        <f t="shared" si="9"/>
        <v>190</v>
      </c>
      <c r="AA15" s="2">
        <v>2</v>
      </c>
      <c r="AB15" s="2">
        <v>9</v>
      </c>
      <c r="AC15" s="2">
        <f t="shared" si="12"/>
        <v>80</v>
      </c>
      <c r="AD15" s="1">
        <v>0</v>
      </c>
      <c r="AE15" s="1"/>
      <c r="AF15" s="1">
        <v>0</v>
      </c>
    </row>
    <row r="16" customHeight="1" spans="1:32">
      <c r="C16" s="1">
        <v>11</v>
      </c>
      <c r="D16" s="1">
        <v>0</v>
      </c>
      <c r="E16" s="1">
        <v>1</v>
      </c>
      <c r="F16" s="1" t="s">
        <v>52</v>
      </c>
      <c r="G16" s="1">
        <v>11</v>
      </c>
      <c r="H16" s="1">
        <f t="shared" si="8"/>
        <v>1650</v>
      </c>
      <c r="I16" s="1">
        <f t="shared" si="0"/>
        <v>1100</v>
      </c>
      <c r="J16" s="1">
        <f t="shared" si="1"/>
        <v>220000</v>
      </c>
      <c r="K16" s="1">
        <f t="shared" si="2"/>
        <v>66</v>
      </c>
      <c r="L16" s="1">
        <f t="shared" si="3"/>
        <v>44</v>
      </c>
      <c r="M16" s="1">
        <f t="shared" si="4"/>
        <v>33</v>
      </c>
      <c r="N16" s="1">
        <f t="shared" si="5"/>
        <v>55</v>
      </c>
      <c r="O16" s="5">
        <v>11</v>
      </c>
      <c r="P16" s="2">
        <f t="shared" si="11"/>
        <v>28</v>
      </c>
      <c r="Q16" s="1">
        <v>10</v>
      </c>
      <c r="R16" s="1">
        <v>0</v>
      </c>
      <c r="S16" s="1">
        <v>0</v>
      </c>
      <c r="T16" s="5">
        <v>2</v>
      </c>
      <c r="U16" s="5">
        <v>2</v>
      </c>
      <c r="V16" s="1">
        <f t="shared" si="6"/>
        <v>2000</v>
      </c>
      <c r="W16" s="1">
        <f t="shared" si="7"/>
        <v>2000</v>
      </c>
      <c r="X16" s="1">
        <v>20</v>
      </c>
      <c r="Y16" s="1">
        <v>11</v>
      </c>
      <c r="Z16" s="2">
        <f t="shared" si="9"/>
        <v>200</v>
      </c>
      <c r="AA16" s="2">
        <v>3</v>
      </c>
      <c r="AB16" s="2">
        <v>10</v>
      </c>
      <c r="AC16" s="2">
        <f t="shared" si="12"/>
        <v>90</v>
      </c>
      <c r="AD16" s="1">
        <v>0</v>
      </c>
      <c r="AE16" s="1"/>
      <c r="AF16" s="1">
        <v>0</v>
      </c>
    </row>
    <row r="17" customHeight="1" spans="3:32">
      <c r="C17" s="1">
        <v>12</v>
      </c>
      <c r="D17" s="1">
        <v>0</v>
      </c>
      <c r="E17" s="1">
        <v>1</v>
      </c>
      <c r="F17" s="1" t="s">
        <v>53</v>
      </c>
      <c r="G17" s="1">
        <v>12</v>
      </c>
      <c r="H17" s="1">
        <f t="shared" si="8"/>
        <v>1980</v>
      </c>
      <c r="I17" s="1">
        <f t="shared" si="0"/>
        <v>1320</v>
      </c>
      <c r="J17" s="1">
        <f t="shared" si="1"/>
        <v>264000</v>
      </c>
      <c r="K17" s="1">
        <f t="shared" si="2"/>
        <v>72</v>
      </c>
      <c r="L17" s="1">
        <f t="shared" si="3"/>
        <v>48</v>
      </c>
      <c r="M17" s="1">
        <f t="shared" si="4"/>
        <v>36</v>
      </c>
      <c r="N17" s="1">
        <f t="shared" si="5"/>
        <v>60</v>
      </c>
      <c r="O17" s="5">
        <v>12</v>
      </c>
      <c r="P17" s="2">
        <f t="shared" si="11"/>
        <v>30</v>
      </c>
      <c r="Q17" s="1">
        <v>11</v>
      </c>
      <c r="R17" s="1">
        <v>0</v>
      </c>
      <c r="S17" s="1">
        <v>0</v>
      </c>
      <c r="T17" s="5">
        <v>2</v>
      </c>
      <c r="U17" s="5">
        <v>2</v>
      </c>
      <c r="V17" s="1">
        <f t="shared" si="6"/>
        <v>2100</v>
      </c>
      <c r="W17" s="1">
        <f t="shared" si="7"/>
        <v>2100</v>
      </c>
      <c r="X17" s="1">
        <v>21</v>
      </c>
      <c r="Y17" s="1">
        <v>12</v>
      </c>
      <c r="Z17" s="2">
        <f>Z16+20</f>
        <v>220</v>
      </c>
      <c r="AA17" s="2">
        <v>3</v>
      </c>
      <c r="AB17" s="2">
        <v>11</v>
      </c>
      <c r="AC17" s="2">
        <f t="shared" si="12"/>
        <v>100</v>
      </c>
      <c r="AD17" s="1">
        <v>0</v>
      </c>
      <c r="AE17" s="1"/>
      <c r="AF17" s="1">
        <v>0</v>
      </c>
    </row>
    <row r="18" customHeight="1" spans="3:32">
      <c r="Q18" s="1"/>
      <c r="S18" s="1"/>
      <c r="T18" s="5"/>
      <c r="U18" s="5"/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2026-04-24T17:48:17Z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