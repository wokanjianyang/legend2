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装备图鉴" sheetId="2" r:id="rId1"/>
    <sheet name="宠物图鉴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<sst xmlns="http://schemas.openxmlformats.org/spreadsheetml/2006/main" count="373" uniqueCount="152">
  <si>
    <t>#</t>
  </si>
  <si>
    <t>Id</t>
  </si>
  <si>
    <t>Stage</t>
  </si>
  <si>
    <t>Name</t>
  </si>
  <si>
    <t>LogoId</t>
  </si>
  <si>
    <t>AtrIdList</t>
  </si>
  <si>
    <t>AtrVueList</t>
  </si>
  <si>
    <t>SpeAtrId</t>
  </si>
  <si>
    <t>SpeAtrVue</t>
  </si>
  <si>
    <t>SpeRequire</t>
  </si>
  <si>
    <t>BaseFee</t>
  </si>
  <si>
    <t>MaxLevel</t>
  </si>
  <si>
    <t>Des</t>
  </si>
  <si>
    <t>int</t>
  </si>
  <si>
    <t>string</t>
  </si>
  <si>
    <t>int[]</t>
  </si>
  <si>
    <t>朽木武器</t>
  </si>
  <si>
    <t>Bag/Equip/Box_Equip_1_1</t>
  </si>
  <si>
    <t>3,91</t>
  </si>
  <si>
    <t>100,1</t>
  </si>
  <si>
    <t>1003</t>
  </si>
  <si>
    <t>朽木衣服</t>
  </si>
  <si>
    <t>Bag/Equip/Box_Equip_1_2</t>
  </si>
  <si>
    <t>2,91</t>
  </si>
  <si>
    <t>1002</t>
  </si>
  <si>
    <t>朽木首饰</t>
  </si>
  <si>
    <t>Bag/Equip/Box_Equip_1_3</t>
  </si>
  <si>
    <t>1,91</t>
  </si>
  <si>
    <t>1000,1</t>
  </si>
  <si>
    <t>1001</t>
  </si>
  <si>
    <t>黑铁武器</t>
  </si>
  <si>
    <t>Bag/Equip/Box_Equip_2_1</t>
  </si>
  <si>
    <t>200,1</t>
  </si>
  <si>
    <t>黑铁衣服</t>
  </si>
  <si>
    <t>Bag/Equip/Box_Equip_2_2</t>
  </si>
  <si>
    <t>黑铁首饰</t>
  </si>
  <si>
    <t>Bag/Equip/Box_Equip_2_3</t>
  </si>
  <si>
    <t>2000,1</t>
  </si>
  <si>
    <t>白银武器</t>
  </si>
  <si>
    <t>Bag/Equip/Box_Equip_3_1</t>
  </si>
  <si>
    <t>300,1</t>
  </si>
  <si>
    <t>白银衣服</t>
  </si>
  <si>
    <t>Bag/Equip/Box_Equip_3_2</t>
  </si>
  <si>
    <t>白银首饰</t>
  </si>
  <si>
    <t>Bag/Equip/Box_Equip_3_3</t>
  </si>
  <si>
    <t>3000,1</t>
  </si>
  <si>
    <t>黄金武器</t>
  </si>
  <si>
    <t>400,1</t>
  </si>
  <si>
    <t>黄金衣服</t>
  </si>
  <si>
    <t>黄金首饰</t>
  </si>
  <si>
    <t>4000,1</t>
  </si>
  <si>
    <t>钻石武器</t>
  </si>
  <si>
    <t>500,1</t>
  </si>
  <si>
    <t>钻石衣服</t>
  </si>
  <si>
    <t>钻石首饰</t>
  </si>
  <si>
    <t>5000,1</t>
  </si>
  <si>
    <t>金龙武器</t>
  </si>
  <si>
    <t>600,1</t>
  </si>
  <si>
    <t>金龙衣服</t>
  </si>
  <si>
    <t>金龙首饰</t>
  </si>
  <si>
    <t>6000,1</t>
  </si>
  <si>
    <t>木龙武器</t>
  </si>
  <si>
    <t>700,1</t>
  </si>
  <si>
    <t>木龙衣服</t>
  </si>
  <si>
    <t>木龙首饰</t>
  </si>
  <si>
    <t>7000,1</t>
  </si>
  <si>
    <t>土龙武器</t>
  </si>
  <si>
    <t>800,1</t>
  </si>
  <si>
    <t>土龙衣服</t>
  </si>
  <si>
    <t>土龙首饰</t>
  </si>
  <si>
    <t>8000,1</t>
  </si>
  <si>
    <t>冰龙武器</t>
  </si>
  <si>
    <t>900,1</t>
  </si>
  <si>
    <t>冰龙衣服</t>
  </si>
  <si>
    <t>冰龙首饰</t>
  </si>
  <si>
    <t>9000,1</t>
  </si>
  <si>
    <t>炎龙武器</t>
  </si>
  <si>
    <t>炎龙衣服</t>
  </si>
  <si>
    <t>炎龙首饰</t>
  </si>
  <si>
    <t>10000,1</t>
  </si>
  <si>
    <t>光龙武器</t>
  </si>
  <si>
    <t>1100,1</t>
  </si>
  <si>
    <t>光龙衣服</t>
  </si>
  <si>
    <t>光龙首饰</t>
  </si>
  <si>
    <t>11000,1</t>
  </si>
  <si>
    <t>暗龙武器</t>
  </si>
  <si>
    <t>1200,1</t>
  </si>
  <si>
    <t>暗龙衣服</t>
  </si>
  <si>
    <t>暗龙首饰</t>
  </si>
  <si>
    <t>12000,1</t>
  </si>
  <si>
    <t>1转天龙武器</t>
  </si>
  <si>
    <t>1300,1</t>
  </si>
  <si>
    <t>10003</t>
  </si>
  <si>
    <t>1转天龙衣服</t>
  </si>
  <si>
    <t>10002</t>
  </si>
  <si>
    <t>1转天龙首饰</t>
  </si>
  <si>
    <t>13000,1</t>
  </si>
  <si>
    <t>10001</t>
  </si>
  <si>
    <t>2转天龙武器</t>
  </si>
  <si>
    <t>1400,1</t>
  </si>
  <si>
    <t>2转天龙衣服</t>
  </si>
  <si>
    <t>2转天龙首饰</t>
  </si>
  <si>
    <t>14000,1</t>
  </si>
  <si>
    <t>3转天龙武器</t>
  </si>
  <si>
    <t>1500,1</t>
  </si>
  <si>
    <t>3转天龙衣服</t>
  </si>
  <si>
    <t>3转天龙首饰</t>
  </si>
  <si>
    <t>15000,1</t>
  </si>
  <si>
    <t>落日平原</t>
  </si>
  <si>
    <t>Player/Boss/Boss1</t>
  </si>
  <si>
    <t>27,91</t>
  </si>
  <si>
    <t>1,1</t>
  </si>
  <si>
    <t>21</t>
  </si>
  <si>
    <t>暴击</t>
  </si>
  <si>
    <t>幽暗沼泽</t>
  </si>
  <si>
    <t>Player/Boss/Boss2</t>
  </si>
  <si>
    <t>22</t>
  </si>
  <si>
    <t>爆伤</t>
  </si>
  <si>
    <t>碎石矿场</t>
  </si>
  <si>
    <t>Player/Boss/Boss3</t>
  </si>
  <si>
    <t>10</t>
  </si>
  <si>
    <t>冷却</t>
  </si>
  <si>
    <t>枯骨荒漠</t>
  </si>
  <si>
    <t>Player/Boss/Boss4</t>
  </si>
  <si>
    <t>11</t>
  </si>
  <si>
    <t>攻速</t>
  </si>
  <si>
    <t>迷雾森林</t>
  </si>
  <si>
    <t>Player/Boss/Boss5</t>
  </si>
  <si>
    <t>13</t>
  </si>
  <si>
    <t>命中</t>
  </si>
  <si>
    <t>熔火地穴</t>
  </si>
  <si>
    <t>Player/Boss/Boss6</t>
  </si>
  <si>
    <t>14</t>
  </si>
  <si>
    <t>闪避</t>
  </si>
  <si>
    <t>雷光废墟</t>
  </si>
  <si>
    <t>Player/Boss/Boss7</t>
  </si>
  <si>
    <t>28</t>
  </si>
  <si>
    <t>减伤</t>
  </si>
  <si>
    <t>冰封王陵</t>
  </si>
  <si>
    <t>Player/Boss/Boss8</t>
  </si>
  <si>
    <t>诅咒祭坛</t>
  </si>
  <si>
    <t>Player/Boss/Boss9</t>
  </si>
  <si>
    <t>增伤</t>
  </si>
  <si>
    <t>虚空裂谷</t>
  </si>
  <si>
    <t>Player/Boss/Boss10</t>
  </si>
  <si>
    <t>生命倍率</t>
  </si>
  <si>
    <t>龙眠之地</t>
  </si>
  <si>
    <t>Player/Boss/Boss11</t>
  </si>
  <si>
    <t>防御倍率</t>
  </si>
  <si>
    <t>永恒神界</t>
  </si>
  <si>
    <t>Player/Boss/Boss12</t>
  </si>
  <si>
    <t>攻击倍率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</si>
</sst>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  <scheme val="minor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N50"/>
  <sheetViews>
    <sheetView tabSelected="1" topLeftCell="A8" workbookViewId="0">
      <selection activeCell="E57" sqref="E57"/>
    </sheetView>
  </sheetViews>
  <sheetFormatPr defaultColWidth="9" defaultRowHeight="16" customHeight="1"/>
  <cols>
    <col min="1" max="3" width="9" style="1"/>
    <col min="4" max="4" width="13.25" style="1" customWidth="1"/>
    <col min="5" max="5" width="20.5833333333333" style="1" customWidth="1"/>
    <col min="6" max="6" width="21.1666666666667" style="1" customWidth="1"/>
    <col min="7" max="7" width="17.25" style="1" customWidth="1"/>
    <col min="8" max="13" width="12.25" style="1" customWidth="1"/>
    <col min="14" max="14" width="26.75" style="1" customWidth="1"/>
    <col min="15" max="15" width="14.9166666666667" style="1" customWidth="1"/>
    <col min="16" max="16384" width="9" style="1"/>
  </cols>
  <sheetData>
    <row r="1" customHeight="1" spans="3:14">
      <c r="F1" s="2"/>
      <c r="N1" s="1" t="s">
        <v>0</v>
      </c>
    </row>
    <row r="2" customHeight="1" spans="3:14">
      <c r="F2" s="2"/>
      <c r="N2" s="1" t="s">
        <v>0</v>
      </c>
    </row>
    <row r="3" s="1" customFormat="1" customHeight="1" spans="3:14">
      <c r="C3" s="3" t="s">
        <v>1</v>
      </c>
      <c r="D3" s="3" t="s">
        <v>2</v>
      </c>
      <c r="E3" s="3" t="s">
        <v>3</v>
      </c>
      <c r="F3" s="4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</row>
    <row r="4" s="1" customFormat="1" customHeight="1" spans="3:14">
      <c r="C4" s="3" t="s">
        <v>1</v>
      </c>
      <c r="D4" s="3" t="s">
        <v>2</v>
      </c>
      <c r="E4" s="3" t="s">
        <v>3</v>
      </c>
      <c r="F4" s="4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</row>
    <row r="5" s="1" customFormat="1" customHeight="1" spans="3:14">
      <c r="C5" s="3" t="s">
        <v>13</v>
      </c>
      <c r="D5" s="3" t="s">
        <v>13</v>
      </c>
      <c r="E5" s="3" t="s">
        <v>14</v>
      </c>
      <c r="F5" s="4" t="s">
        <v>14</v>
      </c>
      <c r="G5" s="3" t="s">
        <v>15</v>
      </c>
      <c r="H5" s="3" t="s">
        <v>15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  <c r="N5" s="3" t="s">
        <v>14</v>
      </c>
    </row>
    <row r="6" s="1" customFormat="1" customHeight="1" spans="3:14">
      <c r="C6" s="1">
        <v>1</v>
      </c>
      <c r="D6" s="1">
        <v>1</v>
      </c>
      <c r="E6" s="1" t="s">
        <v>16</v>
      </c>
      <c r="F6" s="2" t="s">
        <v>17</v>
      </c>
      <c r="G6" s="5" t="s">
        <v>18</v>
      </c>
      <c r="H6" s="5" t="s">
        <v>19</v>
      </c>
      <c r="I6" s="5" t="s">
        <v>20</v>
      </c>
      <c r="J6" s="1">
        <v>2</v>
      </c>
      <c r="K6" s="1">
        <v>5</v>
      </c>
      <c r="L6" s="1">
        <v>1</v>
      </c>
      <c r="M6" s="1">
        <v>5</v>
      </c>
    </row>
    <row r="7" s="1" customFormat="1" customHeight="1" spans="3:14">
      <c r="C7" s="1">
        <v>2</v>
      </c>
      <c r="D7" s="1">
        <v>1</v>
      </c>
      <c r="E7" s="1" t="s">
        <v>21</v>
      </c>
      <c r="F7" s="2" t="s">
        <v>22</v>
      </c>
      <c r="G7" s="5" t="s">
        <v>23</v>
      </c>
      <c r="H7" s="5" t="s">
        <v>19</v>
      </c>
      <c r="I7" s="5" t="s">
        <v>24</v>
      </c>
      <c r="J7" s="1">
        <v>2</v>
      </c>
      <c r="K7" s="1">
        <v>5</v>
      </c>
      <c r="L7" s="1">
        <v>1</v>
      </c>
      <c r="M7" s="1">
        <v>5</v>
      </c>
    </row>
    <row r="8" s="1" customFormat="1" customHeight="1" spans="3:14">
      <c r="C8" s="1">
        <v>3</v>
      </c>
      <c r="D8" s="1">
        <v>1</v>
      </c>
      <c r="E8" s="1" t="s">
        <v>25</v>
      </c>
      <c r="F8" s="2" t="s">
        <v>26</v>
      </c>
      <c r="G8" s="5" t="s">
        <v>27</v>
      </c>
      <c r="H8" s="5" t="s">
        <v>28</v>
      </c>
      <c r="I8" s="5" t="s">
        <v>29</v>
      </c>
      <c r="J8" s="1">
        <v>4</v>
      </c>
      <c r="K8" s="1">
        <v>5</v>
      </c>
      <c r="L8" s="1">
        <v>5</v>
      </c>
      <c r="M8" s="1">
        <v>5</v>
      </c>
    </row>
    <row r="9" customHeight="1" spans="3:14">
      <c r="C9" s="1">
        <v>4</v>
      </c>
      <c r="D9" s="1">
        <v>1</v>
      </c>
      <c r="E9" s="1" t="s">
        <v>30</v>
      </c>
      <c r="F9" s="2" t="s">
        <v>31</v>
      </c>
      <c r="G9" s="5" t="s">
        <v>18</v>
      </c>
      <c r="H9" s="5" t="s">
        <v>32</v>
      </c>
      <c r="I9" s="5" t="s">
        <v>20</v>
      </c>
      <c r="J9" s="1">
        <f t="shared" ref="J9:J13" si="0">J6+1</f>
        <v>3</v>
      </c>
      <c r="K9" s="1">
        <v>6</v>
      </c>
      <c r="L9" s="1">
        <v>1</v>
      </c>
      <c r="M9" s="1">
        <v>6</v>
      </c>
    </row>
    <row r="10" customHeight="1" spans="3:14">
      <c r="C10" s="1">
        <v>5</v>
      </c>
      <c r="D10" s="1">
        <v>1</v>
      </c>
      <c r="E10" s="1" t="s">
        <v>33</v>
      </c>
      <c r="F10" s="2" t="s">
        <v>34</v>
      </c>
      <c r="G10" s="5" t="s">
        <v>23</v>
      </c>
      <c r="H10" s="5" t="s">
        <v>32</v>
      </c>
      <c r="I10" s="5" t="s">
        <v>24</v>
      </c>
      <c r="J10" s="1">
        <f t="shared" si="0"/>
        <v>3</v>
      </c>
      <c r="K10" s="1">
        <v>6</v>
      </c>
      <c r="L10" s="1">
        <v>1</v>
      </c>
      <c r="M10" s="1">
        <v>6</v>
      </c>
    </row>
    <row r="11" customHeight="1" spans="3:14">
      <c r="C11" s="1">
        <v>6</v>
      </c>
      <c r="D11" s="1">
        <v>1</v>
      </c>
      <c r="E11" s="1" t="s">
        <v>35</v>
      </c>
      <c r="F11" s="2" t="s">
        <v>36</v>
      </c>
      <c r="G11" s="5" t="s">
        <v>27</v>
      </c>
      <c r="H11" s="5" t="s">
        <v>37</v>
      </c>
      <c r="I11" s="5" t="s">
        <v>29</v>
      </c>
      <c r="J11" s="1">
        <f>J8+2</f>
        <v>6</v>
      </c>
      <c r="K11" s="1">
        <v>6</v>
      </c>
      <c r="L11" s="1">
        <v>5</v>
      </c>
      <c r="M11" s="1">
        <v>6</v>
      </c>
    </row>
    <row r="12" customHeight="1" spans="3:14">
      <c r="C12" s="1">
        <v>7</v>
      </c>
      <c r="D12" s="1">
        <v>1</v>
      </c>
      <c r="E12" s="1" t="s">
        <v>38</v>
      </c>
      <c r="F12" s="2" t="s">
        <v>39</v>
      </c>
      <c r="G12" s="5" t="s">
        <v>18</v>
      </c>
      <c r="H12" s="5" t="s">
        <v>40</v>
      </c>
      <c r="I12" s="5" t="s">
        <v>20</v>
      </c>
      <c r="J12" s="1">
        <f t="shared" si="0"/>
        <v>4</v>
      </c>
      <c r="K12" s="1">
        <v>7</v>
      </c>
      <c r="L12" s="1">
        <v>1</v>
      </c>
      <c r="M12" s="1">
        <v>7</v>
      </c>
    </row>
    <row r="13" customHeight="1" spans="3:14">
      <c r="C13" s="1">
        <v>8</v>
      </c>
      <c r="D13" s="1">
        <v>1</v>
      </c>
      <c r="E13" s="1" t="s">
        <v>41</v>
      </c>
      <c r="F13" s="2" t="s">
        <v>42</v>
      </c>
      <c r="G13" s="5" t="s">
        <v>23</v>
      </c>
      <c r="H13" s="5" t="s">
        <v>40</v>
      </c>
      <c r="I13" s="5" t="s">
        <v>24</v>
      </c>
      <c r="J13" s="1">
        <f t="shared" si="0"/>
        <v>4</v>
      </c>
      <c r="K13" s="1">
        <v>7</v>
      </c>
      <c r="L13" s="1">
        <v>1</v>
      </c>
      <c r="M13" s="1">
        <v>7</v>
      </c>
    </row>
    <row r="14" customHeight="1" spans="3:14">
      <c r="C14" s="1">
        <v>9</v>
      </c>
      <c r="D14" s="1">
        <v>1</v>
      </c>
      <c r="E14" s="1" t="s">
        <v>43</v>
      </c>
      <c r="F14" s="2" t="s">
        <v>44</v>
      </c>
      <c r="G14" s="5" t="s">
        <v>27</v>
      </c>
      <c r="H14" s="5" t="s">
        <v>45</v>
      </c>
      <c r="I14" s="5" t="s">
        <v>29</v>
      </c>
      <c r="J14" s="1">
        <f>J11+2</f>
        <v>8</v>
      </c>
      <c r="K14" s="1">
        <v>7</v>
      </c>
      <c r="L14" s="1">
        <v>5</v>
      </c>
      <c r="M14" s="1">
        <v>7</v>
      </c>
    </row>
    <row r="15" customHeight="1" spans="3:14">
      <c r="C15" s="1">
        <v>10</v>
      </c>
      <c r="D15" s="1">
        <v>1</v>
      </c>
      <c r="E15" s="1" t="s">
        <v>46</v>
      </c>
      <c r="F15" s="2" t="s">
        <v>17</v>
      </c>
      <c r="G15" s="5" t="s">
        <v>18</v>
      </c>
      <c r="H15" s="5" t="s">
        <v>47</v>
      </c>
      <c r="I15" s="5" t="s">
        <v>20</v>
      </c>
      <c r="J15" s="1">
        <f t="shared" ref="J15:J19" si="1">J12+1</f>
        <v>5</v>
      </c>
      <c r="K15" s="1">
        <v>8</v>
      </c>
      <c r="L15" s="1">
        <v>1</v>
      </c>
      <c r="M15" s="1">
        <v>8</v>
      </c>
    </row>
    <row r="16" customHeight="1" spans="3:14">
      <c r="C16" s="1">
        <v>11</v>
      </c>
      <c r="D16" s="1">
        <v>1</v>
      </c>
      <c r="E16" s="1" t="s">
        <v>48</v>
      </c>
      <c r="F16" s="2" t="s">
        <v>22</v>
      </c>
      <c r="G16" s="5" t="s">
        <v>23</v>
      </c>
      <c r="H16" s="5" t="s">
        <v>47</v>
      </c>
      <c r="I16" s="5" t="s">
        <v>24</v>
      </c>
      <c r="J16" s="1">
        <f t="shared" si="1"/>
        <v>5</v>
      </c>
      <c r="K16" s="1">
        <v>8</v>
      </c>
      <c r="L16" s="1">
        <v>1</v>
      </c>
      <c r="M16" s="1">
        <v>8</v>
      </c>
    </row>
    <row r="17" customHeight="1" spans="3:13">
      <c r="C17" s="1">
        <v>12</v>
      </c>
      <c r="D17" s="1">
        <v>1</v>
      </c>
      <c r="E17" s="1" t="s">
        <v>49</v>
      </c>
      <c r="F17" s="2" t="s">
        <v>26</v>
      </c>
      <c r="G17" s="5" t="s">
        <v>27</v>
      </c>
      <c r="H17" s="5" t="s">
        <v>50</v>
      </c>
      <c r="I17" s="5" t="s">
        <v>29</v>
      </c>
      <c r="J17" s="1">
        <f>J14+2</f>
        <v>10</v>
      </c>
      <c r="K17" s="1">
        <v>8</v>
      </c>
      <c r="L17" s="1">
        <v>5</v>
      </c>
      <c r="M17" s="1">
        <v>8</v>
      </c>
    </row>
    <row r="18" customHeight="1" spans="3:13">
      <c r="C18" s="1">
        <v>13</v>
      </c>
      <c r="D18" s="1">
        <v>1</v>
      </c>
      <c r="E18" s="1" t="s">
        <v>51</v>
      </c>
      <c r="F18" s="2" t="s">
        <v>31</v>
      </c>
      <c r="G18" s="5" t="s">
        <v>18</v>
      </c>
      <c r="H18" s="5" t="s">
        <v>52</v>
      </c>
      <c r="I18" s="5" t="s">
        <v>20</v>
      </c>
      <c r="J18" s="1">
        <f t="shared" si="1"/>
        <v>6</v>
      </c>
      <c r="K18" s="1">
        <v>9</v>
      </c>
      <c r="L18" s="1">
        <v>1</v>
      </c>
      <c r="M18" s="1">
        <v>9</v>
      </c>
    </row>
    <row r="19" customHeight="1" spans="3:13">
      <c r="C19" s="1">
        <v>14</v>
      </c>
      <c r="D19" s="1">
        <v>1</v>
      </c>
      <c r="E19" s="1" t="s">
        <v>53</v>
      </c>
      <c r="F19" s="2" t="s">
        <v>34</v>
      </c>
      <c r="G19" s="5" t="s">
        <v>23</v>
      </c>
      <c r="H19" s="5" t="s">
        <v>52</v>
      </c>
      <c r="I19" s="5" t="s">
        <v>24</v>
      </c>
      <c r="J19" s="1">
        <f t="shared" si="1"/>
        <v>6</v>
      </c>
      <c r="K19" s="1">
        <v>9</v>
      </c>
      <c r="L19" s="1">
        <v>1</v>
      </c>
      <c r="M19" s="1">
        <v>9</v>
      </c>
    </row>
    <row r="20" customHeight="1" spans="3:13">
      <c r="C20" s="1">
        <v>15</v>
      </c>
      <c r="D20" s="1">
        <v>1</v>
      </c>
      <c r="E20" s="1" t="s">
        <v>54</v>
      </c>
      <c r="F20" s="2" t="s">
        <v>36</v>
      </c>
      <c r="G20" s="5" t="s">
        <v>27</v>
      </c>
      <c r="H20" s="5" t="s">
        <v>55</v>
      </c>
      <c r="I20" s="5" t="s">
        <v>29</v>
      </c>
      <c r="J20" s="1">
        <f>J17+2</f>
        <v>12</v>
      </c>
      <c r="K20" s="1">
        <v>9</v>
      </c>
      <c r="L20" s="1">
        <v>5</v>
      </c>
      <c r="M20" s="1">
        <v>9</v>
      </c>
    </row>
    <row r="21" customHeight="1" spans="3:13">
      <c r="C21" s="1">
        <v>16</v>
      </c>
      <c r="D21" s="1">
        <v>1</v>
      </c>
      <c r="E21" s="1" t="s">
        <v>56</v>
      </c>
      <c r="F21" s="2" t="s">
        <v>39</v>
      </c>
      <c r="G21" s="5" t="s">
        <v>18</v>
      </c>
      <c r="H21" s="5" t="s">
        <v>57</v>
      </c>
      <c r="I21" s="5" t="s">
        <v>20</v>
      </c>
      <c r="J21" s="1">
        <f t="shared" ref="J21:J25" si="2">J18+1</f>
        <v>7</v>
      </c>
      <c r="K21" s="1">
        <v>10</v>
      </c>
      <c r="L21" s="1">
        <v>1</v>
      </c>
      <c r="M21" s="1">
        <v>10</v>
      </c>
    </row>
    <row r="22" customHeight="1" spans="3:13">
      <c r="C22" s="1">
        <v>17</v>
      </c>
      <c r="D22" s="1">
        <v>1</v>
      </c>
      <c r="E22" s="1" t="s">
        <v>58</v>
      </c>
      <c r="F22" s="2" t="s">
        <v>42</v>
      </c>
      <c r="G22" s="5" t="s">
        <v>23</v>
      </c>
      <c r="H22" s="5" t="s">
        <v>57</v>
      </c>
      <c r="I22" s="5" t="s">
        <v>24</v>
      </c>
      <c r="J22" s="1">
        <f t="shared" si="2"/>
        <v>7</v>
      </c>
      <c r="K22" s="1">
        <v>10</v>
      </c>
      <c r="L22" s="1">
        <v>1</v>
      </c>
      <c r="M22" s="1">
        <v>10</v>
      </c>
    </row>
    <row r="23" customHeight="1" spans="3:13">
      <c r="C23" s="1">
        <v>18</v>
      </c>
      <c r="D23" s="1">
        <v>1</v>
      </c>
      <c r="E23" s="1" t="s">
        <v>59</v>
      </c>
      <c r="F23" s="2" t="s">
        <v>44</v>
      </c>
      <c r="G23" s="5" t="s">
        <v>27</v>
      </c>
      <c r="H23" s="5" t="s">
        <v>60</v>
      </c>
      <c r="I23" s="5" t="s">
        <v>29</v>
      </c>
      <c r="J23" s="1">
        <f>J20+2</f>
        <v>14</v>
      </c>
      <c r="K23" s="1">
        <v>10</v>
      </c>
      <c r="L23" s="1">
        <v>5</v>
      </c>
      <c r="M23" s="1">
        <v>10</v>
      </c>
    </row>
    <row r="24" customHeight="1" spans="3:13">
      <c r="C24" s="1">
        <v>19</v>
      </c>
      <c r="D24" s="1">
        <v>1</v>
      </c>
      <c r="E24" s="1" t="s">
        <v>61</v>
      </c>
      <c r="F24" s="2" t="s">
        <v>17</v>
      </c>
      <c r="G24" s="5" t="s">
        <v>18</v>
      </c>
      <c r="H24" s="5" t="s">
        <v>62</v>
      </c>
      <c r="I24" s="5" t="s">
        <v>20</v>
      </c>
      <c r="J24" s="1">
        <f t="shared" si="2"/>
        <v>8</v>
      </c>
      <c r="K24" s="1">
        <v>10</v>
      </c>
      <c r="L24" s="1">
        <v>1</v>
      </c>
      <c r="M24" s="1">
        <v>10</v>
      </c>
    </row>
    <row r="25" customHeight="1" spans="3:13">
      <c r="C25" s="1">
        <v>20</v>
      </c>
      <c r="D25" s="1">
        <v>1</v>
      </c>
      <c r="E25" s="1" t="s">
        <v>63</v>
      </c>
      <c r="F25" s="2" t="s">
        <v>22</v>
      </c>
      <c r="G25" s="5" t="s">
        <v>23</v>
      </c>
      <c r="H25" s="5" t="s">
        <v>62</v>
      </c>
      <c r="I25" s="5" t="s">
        <v>24</v>
      </c>
      <c r="J25" s="1">
        <f t="shared" si="2"/>
        <v>8</v>
      </c>
      <c r="K25" s="1">
        <v>10</v>
      </c>
      <c r="L25" s="1">
        <v>1</v>
      </c>
      <c r="M25" s="1">
        <v>10</v>
      </c>
    </row>
    <row r="26" customHeight="1" spans="3:13">
      <c r="C26" s="1">
        <v>21</v>
      </c>
      <c r="D26" s="1">
        <v>1</v>
      </c>
      <c r="E26" s="1" t="s">
        <v>64</v>
      </c>
      <c r="F26" s="2" t="s">
        <v>26</v>
      </c>
      <c r="G26" s="5" t="s">
        <v>27</v>
      </c>
      <c r="H26" s="5" t="s">
        <v>65</v>
      </c>
      <c r="I26" s="5" t="s">
        <v>29</v>
      </c>
      <c r="J26" s="1">
        <f>J23+2</f>
        <v>16</v>
      </c>
      <c r="K26" s="1">
        <v>10</v>
      </c>
      <c r="L26" s="1">
        <v>5</v>
      </c>
      <c r="M26" s="1">
        <v>10</v>
      </c>
    </row>
    <row r="27" customHeight="1" spans="3:13">
      <c r="C27" s="1">
        <v>22</v>
      </c>
      <c r="D27" s="1">
        <v>1</v>
      </c>
      <c r="E27" s="1" t="s">
        <v>66</v>
      </c>
      <c r="F27" s="2" t="s">
        <v>31</v>
      </c>
      <c r="G27" s="5" t="s">
        <v>18</v>
      </c>
      <c r="H27" s="5" t="s">
        <v>67</v>
      </c>
      <c r="I27" s="5" t="s">
        <v>20</v>
      </c>
      <c r="J27" s="1">
        <f t="shared" ref="J27:J31" si="3">J24+1</f>
        <v>9</v>
      </c>
      <c r="K27" s="1">
        <v>10</v>
      </c>
      <c r="L27" s="1">
        <v>1</v>
      </c>
      <c r="M27" s="1">
        <v>10</v>
      </c>
    </row>
    <row r="28" customHeight="1" spans="3:13">
      <c r="C28" s="1">
        <v>23</v>
      </c>
      <c r="D28" s="1">
        <v>1</v>
      </c>
      <c r="E28" s="1" t="s">
        <v>68</v>
      </c>
      <c r="F28" s="2" t="s">
        <v>34</v>
      </c>
      <c r="G28" s="5" t="s">
        <v>23</v>
      </c>
      <c r="H28" s="5" t="s">
        <v>67</v>
      </c>
      <c r="I28" s="5" t="s">
        <v>24</v>
      </c>
      <c r="J28" s="1">
        <f t="shared" si="3"/>
        <v>9</v>
      </c>
      <c r="K28" s="1">
        <v>10</v>
      </c>
      <c r="L28" s="1">
        <v>1</v>
      </c>
      <c r="M28" s="1">
        <v>10</v>
      </c>
    </row>
    <row r="29" customHeight="1" spans="3:13">
      <c r="C29" s="1">
        <v>24</v>
      </c>
      <c r="D29" s="1">
        <v>1</v>
      </c>
      <c r="E29" s="1" t="s">
        <v>69</v>
      </c>
      <c r="F29" s="2" t="s">
        <v>36</v>
      </c>
      <c r="G29" s="5" t="s">
        <v>27</v>
      </c>
      <c r="H29" s="5" t="s">
        <v>70</v>
      </c>
      <c r="I29" s="5" t="s">
        <v>29</v>
      </c>
      <c r="J29" s="1">
        <f>J26+2</f>
        <v>18</v>
      </c>
      <c r="K29" s="1">
        <v>10</v>
      </c>
      <c r="L29" s="1">
        <v>5</v>
      </c>
      <c r="M29" s="1">
        <v>10</v>
      </c>
    </row>
    <row r="30" customHeight="1" spans="3:13">
      <c r="C30" s="1">
        <v>25</v>
      </c>
      <c r="D30" s="1">
        <v>1</v>
      </c>
      <c r="E30" s="1" t="s">
        <v>71</v>
      </c>
      <c r="F30" s="2" t="s">
        <v>39</v>
      </c>
      <c r="G30" s="5" t="s">
        <v>18</v>
      </c>
      <c r="H30" s="5" t="s">
        <v>72</v>
      </c>
      <c r="I30" s="5" t="s">
        <v>20</v>
      </c>
      <c r="J30" s="1">
        <f t="shared" si="3"/>
        <v>10</v>
      </c>
      <c r="K30" s="1">
        <v>10</v>
      </c>
      <c r="L30" s="1">
        <v>1</v>
      </c>
      <c r="M30" s="1">
        <v>10</v>
      </c>
    </row>
    <row r="31" customHeight="1" spans="3:13">
      <c r="C31" s="1">
        <v>26</v>
      </c>
      <c r="D31" s="1">
        <v>1</v>
      </c>
      <c r="E31" s="1" t="s">
        <v>73</v>
      </c>
      <c r="F31" s="2" t="s">
        <v>42</v>
      </c>
      <c r="G31" s="5" t="s">
        <v>23</v>
      </c>
      <c r="H31" s="5" t="s">
        <v>72</v>
      </c>
      <c r="I31" s="5" t="s">
        <v>24</v>
      </c>
      <c r="J31" s="1">
        <f t="shared" si="3"/>
        <v>10</v>
      </c>
      <c r="K31" s="1">
        <v>10</v>
      </c>
      <c r="L31" s="1">
        <v>1</v>
      </c>
      <c r="M31" s="1">
        <v>10</v>
      </c>
    </row>
    <row r="32" customHeight="1" spans="3:13">
      <c r="C32" s="1">
        <v>27</v>
      </c>
      <c r="D32" s="1">
        <v>1</v>
      </c>
      <c r="E32" s="1" t="s">
        <v>74</v>
      </c>
      <c r="F32" s="2" t="s">
        <v>44</v>
      </c>
      <c r="G32" s="5" t="s">
        <v>27</v>
      </c>
      <c r="H32" s="5" t="s">
        <v>75</v>
      </c>
      <c r="I32" s="5" t="s">
        <v>29</v>
      </c>
      <c r="J32" s="1">
        <f>J29+2</f>
        <v>20</v>
      </c>
      <c r="K32" s="1">
        <v>10</v>
      </c>
      <c r="L32" s="1">
        <v>5</v>
      </c>
      <c r="M32" s="1">
        <v>10</v>
      </c>
    </row>
    <row r="33" customHeight="1" spans="3:13">
      <c r="C33" s="1">
        <v>28</v>
      </c>
      <c r="D33" s="1">
        <v>1</v>
      </c>
      <c r="E33" s="1" t="s">
        <v>76</v>
      </c>
      <c r="F33" s="2" t="s">
        <v>17</v>
      </c>
      <c r="G33" s="5" t="s">
        <v>18</v>
      </c>
      <c r="H33" s="5" t="s">
        <v>28</v>
      </c>
      <c r="I33" s="5" t="s">
        <v>20</v>
      </c>
      <c r="J33" s="1">
        <f t="shared" ref="J33:J37" si="4">J30+1</f>
        <v>11</v>
      </c>
      <c r="K33" s="1">
        <v>10</v>
      </c>
      <c r="L33" s="1">
        <v>1</v>
      </c>
      <c r="M33" s="1">
        <v>10</v>
      </c>
    </row>
    <row r="34" customHeight="1" spans="3:13">
      <c r="C34" s="1">
        <v>29</v>
      </c>
      <c r="D34" s="1">
        <v>1</v>
      </c>
      <c r="E34" s="1" t="s">
        <v>77</v>
      </c>
      <c r="F34" s="2" t="s">
        <v>22</v>
      </c>
      <c r="G34" s="5" t="s">
        <v>23</v>
      </c>
      <c r="H34" s="5" t="s">
        <v>28</v>
      </c>
      <c r="I34" s="5" t="s">
        <v>24</v>
      </c>
      <c r="J34" s="1">
        <f t="shared" si="4"/>
        <v>11</v>
      </c>
      <c r="K34" s="1">
        <v>10</v>
      </c>
      <c r="L34" s="1">
        <v>1</v>
      </c>
      <c r="M34" s="1">
        <v>10</v>
      </c>
    </row>
    <row r="35" customHeight="1" spans="3:13">
      <c r="C35" s="1">
        <v>30</v>
      </c>
      <c r="D35" s="1">
        <v>1</v>
      </c>
      <c r="E35" s="1" t="s">
        <v>78</v>
      </c>
      <c r="F35" s="2" t="s">
        <v>26</v>
      </c>
      <c r="G35" s="5" t="s">
        <v>27</v>
      </c>
      <c r="H35" s="5" t="s">
        <v>79</v>
      </c>
      <c r="I35" s="5" t="s">
        <v>29</v>
      </c>
      <c r="J35" s="1">
        <f>J32+2</f>
        <v>22</v>
      </c>
      <c r="K35" s="1">
        <v>10</v>
      </c>
      <c r="L35" s="1">
        <v>5</v>
      </c>
      <c r="M35" s="1">
        <v>10</v>
      </c>
    </row>
    <row r="36" customHeight="1" spans="3:13">
      <c r="C36" s="1">
        <v>31</v>
      </c>
      <c r="D36" s="1">
        <v>1</v>
      </c>
      <c r="E36" s="1" t="s">
        <v>80</v>
      </c>
      <c r="F36" s="2" t="s">
        <v>31</v>
      </c>
      <c r="G36" s="5" t="s">
        <v>18</v>
      </c>
      <c r="H36" s="5" t="s">
        <v>81</v>
      </c>
      <c r="I36" s="5" t="s">
        <v>20</v>
      </c>
      <c r="J36" s="1">
        <f t="shared" si="4"/>
        <v>12</v>
      </c>
      <c r="K36" s="1">
        <v>10</v>
      </c>
      <c r="L36" s="1">
        <v>1</v>
      </c>
      <c r="M36" s="1">
        <v>10</v>
      </c>
    </row>
    <row r="37" customHeight="1" spans="3:13">
      <c r="C37" s="1">
        <v>32</v>
      </c>
      <c r="D37" s="1">
        <v>1</v>
      </c>
      <c r="E37" s="1" t="s">
        <v>82</v>
      </c>
      <c r="F37" s="2" t="s">
        <v>34</v>
      </c>
      <c r="G37" s="5" t="s">
        <v>23</v>
      </c>
      <c r="H37" s="5" t="s">
        <v>81</v>
      </c>
      <c r="I37" s="5" t="s">
        <v>24</v>
      </c>
      <c r="J37" s="1">
        <f t="shared" si="4"/>
        <v>12</v>
      </c>
      <c r="K37" s="1">
        <v>10</v>
      </c>
      <c r="L37" s="1">
        <v>1</v>
      </c>
      <c r="M37" s="1">
        <v>10</v>
      </c>
    </row>
    <row r="38" customHeight="1" spans="3:13">
      <c r="C38" s="1">
        <v>33</v>
      </c>
      <c r="D38" s="1">
        <v>1</v>
      </c>
      <c r="E38" s="1" t="s">
        <v>83</v>
      </c>
      <c r="F38" s="2" t="s">
        <v>36</v>
      </c>
      <c r="G38" s="5" t="s">
        <v>27</v>
      </c>
      <c r="H38" s="5" t="s">
        <v>84</v>
      </c>
      <c r="I38" s="5" t="s">
        <v>29</v>
      </c>
      <c r="J38" s="1">
        <f>J35+2</f>
        <v>24</v>
      </c>
      <c r="K38" s="1">
        <v>10</v>
      </c>
      <c r="L38" s="1">
        <v>5</v>
      </c>
      <c r="M38" s="1">
        <v>10</v>
      </c>
    </row>
    <row r="39" customHeight="1" spans="3:13">
      <c r="C39" s="1">
        <v>34</v>
      </c>
      <c r="D39" s="1">
        <v>1</v>
      </c>
      <c r="E39" s="1" t="s">
        <v>85</v>
      </c>
      <c r="F39" s="2" t="s">
        <v>39</v>
      </c>
      <c r="G39" s="5" t="s">
        <v>18</v>
      </c>
      <c r="H39" s="5" t="s">
        <v>86</v>
      </c>
      <c r="I39" s="5" t="s">
        <v>20</v>
      </c>
      <c r="J39" s="1">
        <f t="shared" ref="J39:J43" si="5">J36+1</f>
        <v>13</v>
      </c>
      <c r="K39" s="1">
        <v>10</v>
      </c>
      <c r="L39" s="1">
        <v>1</v>
      </c>
      <c r="M39" s="1">
        <v>10</v>
      </c>
    </row>
    <row r="40" customHeight="1" spans="3:13">
      <c r="C40" s="1">
        <v>35</v>
      </c>
      <c r="D40" s="1">
        <v>1</v>
      </c>
      <c r="E40" s="1" t="s">
        <v>87</v>
      </c>
      <c r="F40" s="2" t="s">
        <v>42</v>
      </c>
      <c r="G40" s="5" t="s">
        <v>23</v>
      </c>
      <c r="H40" s="5" t="s">
        <v>86</v>
      </c>
      <c r="I40" s="5" t="s">
        <v>24</v>
      </c>
      <c r="J40" s="1">
        <f t="shared" si="5"/>
        <v>13</v>
      </c>
      <c r="K40" s="1">
        <v>10</v>
      </c>
      <c r="L40" s="1">
        <v>1</v>
      </c>
      <c r="M40" s="1">
        <v>10</v>
      </c>
    </row>
    <row r="41" customHeight="1" spans="3:13">
      <c r="C41" s="1">
        <v>36</v>
      </c>
      <c r="D41" s="1">
        <v>1</v>
      </c>
      <c r="E41" s="1" t="s">
        <v>88</v>
      </c>
      <c r="F41" s="2" t="s">
        <v>44</v>
      </c>
      <c r="G41" s="5" t="s">
        <v>27</v>
      </c>
      <c r="H41" s="5" t="s">
        <v>89</v>
      </c>
      <c r="I41" s="5" t="s">
        <v>29</v>
      </c>
      <c r="J41" s="1">
        <f>J38+2</f>
        <v>26</v>
      </c>
      <c r="K41" s="1">
        <v>10</v>
      </c>
      <c r="L41" s="1">
        <v>5</v>
      </c>
      <c r="M41" s="1">
        <v>10</v>
      </c>
    </row>
    <row r="42" customHeight="1" spans="3:13">
      <c r="C42" s="1">
        <v>37</v>
      </c>
      <c r="D42" s="1">
        <v>2</v>
      </c>
      <c r="E42" s="1" t="s">
        <v>90</v>
      </c>
      <c r="F42" s="2" t="s">
        <v>17</v>
      </c>
      <c r="G42" s="5" t="s">
        <v>18</v>
      </c>
      <c r="H42" s="5" t="s">
        <v>91</v>
      </c>
      <c r="I42" s="5" t="s">
        <v>92</v>
      </c>
      <c r="J42" s="1">
        <v>2</v>
      </c>
      <c r="K42" s="1">
        <v>10</v>
      </c>
      <c r="L42" s="1">
        <v>1</v>
      </c>
      <c r="M42" s="1">
        <v>10</v>
      </c>
    </row>
    <row r="43" customHeight="1" spans="3:13">
      <c r="C43" s="1">
        <v>38</v>
      </c>
      <c r="D43" s="1">
        <v>2</v>
      </c>
      <c r="E43" s="1" t="s">
        <v>93</v>
      </c>
      <c r="F43" s="2" t="s">
        <v>22</v>
      </c>
      <c r="G43" s="5" t="s">
        <v>23</v>
      </c>
      <c r="H43" s="5" t="s">
        <v>91</v>
      </c>
      <c r="I43" s="5" t="s">
        <v>94</v>
      </c>
      <c r="J43" s="1">
        <v>2</v>
      </c>
      <c r="K43" s="1">
        <v>10</v>
      </c>
      <c r="L43" s="1">
        <v>1</v>
      </c>
      <c r="M43" s="1">
        <v>10</v>
      </c>
    </row>
    <row r="44" customHeight="1" spans="3:13">
      <c r="C44" s="1">
        <v>39</v>
      </c>
      <c r="D44" s="1">
        <v>2</v>
      </c>
      <c r="E44" s="1" t="s">
        <v>95</v>
      </c>
      <c r="F44" s="2" t="s">
        <v>26</v>
      </c>
      <c r="G44" s="5" t="s">
        <v>27</v>
      </c>
      <c r="H44" s="5" t="s">
        <v>96</v>
      </c>
      <c r="I44" s="5" t="s">
        <v>97</v>
      </c>
      <c r="J44" s="1">
        <v>2</v>
      </c>
      <c r="K44" s="1">
        <v>10</v>
      </c>
      <c r="L44" s="1">
        <v>5</v>
      </c>
      <c r="M44" s="1">
        <v>10</v>
      </c>
    </row>
    <row r="45" customHeight="1" spans="3:13">
      <c r="C45" s="1">
        <v>40</v>
      </c>
      <c r="D45" s="1">
        <v>2</v>
      </c>
      <c r="E45" s="1" t="s">
        <v>98</v>
      </c>
      <c r="F45" s="2" t="s">
        <v>31</v>
      </c>
      <c r="G45" s="5" t="s">
        <v>18</v>
      </c>
      <c r="H45" s="5" t="s">
        <v>99</v>
      </c>
      <c r="I45" s="5" t="s">
        <v>92</v>
      </c>
      <c r="J45" s="1">
        <v>2</v>
      </c>
      <c r="K45" s="1">
        <v>10</v>
      </c>
      <c r="L45" s="1">
        <v>1</v>
      </c>
      <c r="M45" s="1">
        <v>10</v>
      </c>
    </row>
    <row r="46" customHeight="1" spans="3:13">
      <c r="C46" s="1">
        <v>41</v>
      </c>
      <c r="D46" s="1">
        <v>2</v>
      </c>
      <c r="E46" s="1" t="s">
        <v>100</v>
      </c>
      <c r="F46" s="2" t="s">
        <v>34</v>
      </c>
      <c r="G46" s="5" t="s">
        <v>23</v>
      </c>
      <c r="H46" s="5" t="s">
        <v>99</v>
      </c>
      <c r="I46" s="5" t="s">
        <v>94</v>
      </c>
      <c r="J46" s="1">
        <v>2</v>
      </c>
      <c r="K46" s="1">
        <v>10</v>
      </c>
      <c r="L46" s="1">
        <v>1</v>
      </c>
      <c r="M46" s="1">
        <v>10</v>
      </c>
    </row>
    <row r="47" customHeight="1" spans="3:13">
      <c r="C47" s="1">
        <v>42</v>
      </c>
      <c r="D47" s="1">
        <v>2</v>
      </c>
      <c r="E47" s="1" t="s">
        <v>101</v>
      </c>
      <c r="F47" s="2" t="s">
        <v>36</v>
      </c>
      <c r="G47" s="5" t="s">
        <v>27</v>
      </c>
      <c r="H47" s="5" t="s">
        <v>102</v>
      </c>
      <c r="I47" s="5" t="s">
        <v>97</v>
      </c>
      <c r="J47" s="1">
        <v>2</v>
      </c>
      <c r="K47" s="1">
        <v>10</v>
      </c>
      <c r="L47" s="1">
        <v>5</v>
      </c>
      <c r="M47" s="1">
        <v>10</v>
      </c>
    </row>
    <row r="48" customHeight="1" spans="3:13">
      <c r="C48" s="1">
        <v>43</v>
      </c>
      <c r="D48" s="1">
        <v>2</v>
      </c>
      <c r="E48" s="1" t="s">
        <v>103</v>
      </c>
      <c r="F48" s="2" t="s">
        <v>39</v>
      </c>
      <c r="G48" s="5" t="s">
        <v>18</v>
      </c>
      <c r="H48" s="5" t="s">
        <v>104</v>
      </c>
      <c r="I48" s="5" t="s">
        <v>92</v>
      </c>
      <c r="J48" s="1">
        <v>2</v>
      </c>
      <c r="K48" s="1">
        <v>10</v>
      </c>
      <c r="L48" s="1">
        <v>1</v>
      </c>
      <c r="M48" s="1">
        <v>10</v>
      </c>
    </row>
    <row r="49" customHeight="1" spans="3:13">
      <c r="C49" s="1">
        <v>44</v>
      </c>
      <c r="D49" s="1">
        <v>2</v>
      </c>
      <c r="E49" s="1" t="s">
        <v>105</v>
      </c>
      <c r="F49" s="2" t="s">
        <v>42</v>
      </c>
      <c r="G49" s="5" t="s">
        <v>23</v>
      </c>
      <c r="H49" s="5" t="s">
        <v>104</v>
      </c>
      <c r="I49" s="5" t="s">
        <v>94</v>
      </c>
      <c r="J49" s="1">
        <v>2</v>
      </c>
      <c r="K49" s="1">
        <v>10</v>
      </c>
      <c r="L49" s="1">
        <v>1</v>
      </c>
      <c r="M49" s="1">
        <v>10</v>
      </c>
    </row>
    <row r="50" customHeight="1" spans="3:13">
      <c r="C50" s="1">
        <v>45</v>
      </c>
      <c r="D50" s="1">
        <v>2</v>
      </c>
      <c r="E50" s="1" t="s">
        <v>106</v>
      </c>
      <c r="F50" s="2" t="s">
        <v>44</v>
      </c>
      <c r="G50" s="5" t="s">
        <v>27</v>
      </c>
      <c r="H50" s="5" t="s">
        <v>107</v>
      </c>
      <c r="I50" s="5" t="s">
        <v>97</v>
      </c>
      <c r="J50" s="1">
        <v>2</v>
      </c>
      <c r="K50" s="1">
        <v>10</v>
      </c>
      <c r="L50" s="1">
        <v>5</v>
      </c>
      <c r="M50" s="1">
        <v>10</v>
      </c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COUNTIF($C:$C,C3)&lt;2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N18"/>
  <sheetViews>
    <sheetView workbookViewId="0">
      <selection activeCell="J25" sqref="J25"/>
    </sheetView>
  </sheetViews>
  <sheetFormatPr defaultColWidth="9" defaultRowHeight="16" customHeight="1"/>
  <cols>
    <col min="1" max="4" width="9" style="1"/>
    <col min="5" max="6" width="15.5" style="1" customWidth="1"/>
    <col min="7" max="7" width="12.9166666666667" style="1" customWidth="1"/>
    <col min="8" max="13" width="12.25" style="1" customWidth="1"/>
    <col min="14" max="14" width="26.75" style="1" customWidth="1"/>
    <col min="15" max="16384" width="9" style="1"/>
  </cols>
  <sheetData>
    <row r="1" s="1" customFormat="1" customHeight="1" spans="3:14">
      <c r="F1" s="2"/>
      <c r="N1" s="1" t="s">
        <v>0</v>
      </c>
    </row>
    <row r="2" s="1" customFormat="1" customHeight="1" spans="3:14">
      <c r="F2" s="2"/>
      <c r="N2" s="1" t="s">
        <v>0</v>
      </c>
    </row>
    <row r="3" s="1" customFormat="1" customHeight="1" spans="3:14">
      <c r="C3" s="3" t="s">
        <v>1</v>
      </c>
      <c r="D3" s="3" t="s">
        <v>2</v>
      </c>
      <c r="E3" s="3" t="s">
        <v>3</v>
      </c>
      <c r="F3" s="4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</row>
    <row r="4" s="1" customFormat="1" customHeight="1" spans="3:14">
      <c r="C4" s="3" t="s">
        <v>1</v>
      </c>
      <c r="D4" s="3" t="s">
        <v>2</v>
      </c>
      <c r="E4" s="3" t="s">
        <v>3</v>
      </c>
      <c r="F4" s="4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</row>
    <row r="5" s="1" customFormat="1" customHeight="1" spans="3:14">
      <c r="C5" s="3" t="s">
        <v>13</v>
      </c>
      <c r="D5" s="3" t="s">
        <v>13</v>
      </c>
      <c r="E5" s="3" t="s">
        <v>14</v>
      </c>
      <c r="F5" s="4" t="s">
        <v>14</v>
      </c>
      <c r="G5" s="3" t="s">
        <v>15</v>
      </c>
      <c r="H5" s="3" t="s">
        <v>15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  <c r="N5" s="3" t="s">
        <v>14</v>
      </c>
    </row>
    <row r="6" s="1" customFormat="1" customHeight="1" spans="3:14">
      <c r="C6" s="1">
        <v>1101</v>
      </c>
      <c r="D6" s="1">
        <v>11</v>
      </c>
      <c r="E6" s="2" t="s">
        <v>108</v>
      </c>
      <c r="F6" s="2" t="s">
        <v>109</v>
      </c>
      <c r="G6" s="5" t="s">
        <v>110</v>
      </c>
      <c r="H6" s="5" t="s">
        <v>111</v>
      </c>
      <c r="I6" s="5" t="s">
        <v>112</v>
      </c>
      <c r="J6" s="1">
        <v>3</v>
      </c>
      <c r="K6" s="1">
        <v>5</v>
      </c>
      <c r="L6" s="1">
        <v>1</v>
      </c>
      <c r="M6" s="1">
        <v>5</v>
      </c>
      <c r="N6" s="1" t="s">
        <v>113</v>
      </c>
    </row>
    <row r="7" s="1" customFormat="1" customHeight="1" spans="3:14">
      <c r="C7" s="1">
        <v>1102</v>
      </c>
      <c r="D7" s="1">
        <v>11</v>
      </c>
      <c r="E7" s="2" t="s">
        <v>114</v>
      </c>
      <c r="F7" s="2" t="s">
        <v>115</v>
      </c>
      <c r="G7" s="5" t="s">
        <v>110</v>
      </c>
      <c r="H7" s="5" t="s">
        <v>111</v>
      </c>
      <c r="I7" s="5" t="s">
        <v>116</v>
      </c>
      <c r="J7" s="1">
        <v>20</v>
      </c>
      <c r="K7" s="1">
        <v>6</v>
      </c>
      <c r="L7" s="1">
        <v>1</v>
      </c>
      <c r="M7" s="1">
        <v>6</v>
      </c>
      <c r="N7" s="1" t="s">
        <v>117</v>
      </c>
    </row>
    <row r="8" s="1" customFormat="1" customHeight="1" spans="3:14">
      <c r="C8" s="1">
        <v>1103</v>
      </c>
      <c r="D8" s="1">
        <v>11</v>
      </c>
      <c r="E8" s="2" t="s">
        <v>118</v>
      </c>
      <c r="F8" s="2" t="s">
        <v>119</v>
      </c>
      <c r="G8" s="5" t="s">
        <v>110</v>
      </c>
      <c r="H8" s="5" t="s">
        <v>111</v>
      </c>
      <c r="I8" s="5" t="s">
        <v>120</v>
      </c>
      <c r="J8" s="1">
        <v>5</v>
      </c>
      <c r="K8" s="1">
        <v>7</v>
      </c>
      <c r="L8" s="1">
        <v>1</v>
      </c>
      <c r="M8" s="1">
        <v>7</v>
      </c>
      <c r="N8" s="1" t="s">
        <v>121</v>
      </c>
    </row>
    <row r="9" s="1" customFormat="1" customHeight="1" spans="3:14">
      <c r="C9" s="1">
        <v>1104</v>
      </c>
      <c r="D9" s="1">
        <v>11</v>
      </c>
      <c r="E9" s="2" t="s">
        <v>122</v>
      </c>
      <c r="F9" s="2" t="s">
        <v>123</v>
      </c>
      <c r="G9" s="5" t="s">
        <v>110</v>
      </c>
      <c r="H9" s="5" t="s">
        <v>111</v>
      </c>
      <c r="I9" s="5" t="s">
        <v>124</v>
      </c>
      <c r="J9" s="1">
        <v>5</v>
      </c>
      <c r="K9" s="1">
        <v>8</v>
      </c>
      <c r="L9" s="1">
        <v>1</v>
      </c>
      <c r="M9" s="1">
        <v>8</v>
      </c>
      <c r="N9" s="1" t="s">
        <v>125</v>
      </c>
    </row>
    <row r="10" s="1" customFormat="1" customHeight="1" spans="3:14">
      <c r="C10" s="1">
        <v>1105</v>
      </c>
      <c r="D10" s="1">
        <v>11</v>
      </c>
      <c r="E10" s="2" t="s">
        <v>126</v>
      </c>
      <c r="F10" s="2" t="s">
        <v>127</v>
      </c>
      <c r="G10" s="5" t="s">
        <v>110</v>
      </c>
      <c r="H10" s="5" t="s">
        <v>111</v>
      </c>
      <c r="I10" s="5" t="s">
        <v>128</v>
      </c>
      <c r="J10" s="1">
        <v>10</v>
      </c>
      <c r="K10" s="1">
        <v>9</v>
      </c>
      <c r="L10" s="1">
        <v>1</v>
      </c>
      <c r="M10" s="1">
        <v>9</v>
      </c>
      <c r="N10" s="1" t="s">
        <v>129</v>
      </c>
    </row>
    <row r="11" s="1" customFormat="1" customHeight="1" spans="3:14">
      <c r="C11" s="1">
        <v>1106</v>
      </c>
      <c r="D11" s="1">
        <v>11</v>
      </c>
      <c r="E11" s="2" t="s">
        <v>130</v>
      </c>
      <c r="F11" s="2" t="s">
        <v>131</v>
      </c>
      <c r="G11" s="5" t="s">
        <v>110</v>
      </c>
      <c r="H11" s="5" t="s">
        <v>111</v>
      </c>
      <c r="I11" s="5" t="s">
        <v>132</v>
      </c>
      <c r="J11" s="1">
        <v>10</v>
      </c>
      <c r="K11" s="1">
        <v>10</v>
      </c>
      <c r="L11" s="1">
        <v>1</v>
      </c>
      <c r="M11" s="1">
        <v>10</v>
      </c>
      <c r="N11" s="1" t="s">
        <v>133</v>
      </c>
    </row>
    <row r="12" s="1" customFormat="1" customHeight="1" spans="3:14">
      <c r="C12" s="1">
        <v>1107</v>
      </c>
      <c r="D12" s="1">
        <v>11</v>
      </c>
      <c r="E12" s="2" t="s">
        <v>134</v>
      </c>
      <c r="F12" s="2" t="s">
        <v>135</v>
      </c>
      <c r="G12" s="5" t="s">
        <v>110</v>
      </c>
      <c r="H12" s="5" t="s">
        <v>111</v>
      </c>
      <c r="I12" s="5" t="s">
        <v>136</v>
      </c>
      <c r="J12" s="1">
        <v>10</v>
      </c>
      <c r="K12" s="1">
        <v>10</v>
      </c>
      <c r="L12" s="1">
        <v>1</v>
      </c>
      <c r="M12" s="1">
        <v>11</v>
      </c>
      <c r="N12" s="1" t="s">
        <v>137</v>
      </c>
    </row>
    <row r="13" s="1" customFormat="1" customHeight="1" spans="3:14">
      <c r="C13" s="1">
        <v>1108</v>
      </c>
      <c r="D13" s="1">
        <v>11</v>
      </c>
      <c r="E13" s="2" t="s">
        <v>138</v>
      </c>
      <c r="F13" s="2" t="s">
        <v>139</v>
      </c>
      <c r="G13" s="5" t="s">
        <v>110</v>
      </c>
      <c r="H13" s="5" t="s">
        <v>111</v>
      </c>
      <c r="I13" s="5" t="s">
        <v>128</v>
      </c>
      <c r="J13" s="1">
        <v>15</v>
      </c>
      <c r="K13" s="1">
        <v>10</v>
      </c>
      <c r="L13" s="1">
        <v>1</v>
      </c>
      <c r="M13" s="1">
        <v>12</v>
      </c>
      <c r="N13" s="1" t="s">
        <v>129</v>
      </c>
    </row>
    <row r="14" s="1" customFormat="1" customHeight="1" spans="3:14">
      <c r="C14" s="1">
        <v>1109</v>
      </c>
      <c r="D14" s="1">
        <v>11</v>
      </c>
      <c r="E14" s="2" t="s">
        <v>140</v>
      </c>
      <c r="F14" s="2" t="s">
        <v>141</v>
      </c>
      <c r="G14" s="5" t="s">
        <v>110</v>
      </c>
      <c r="H14" s="5" t="s">
        <v>111</v>
      </c>
      <c r="I14" s="5" t="s">
        <v>132</v>
      </c>
      <c r="J14" s="1">
        <v>15</v>
      </c>
      <c r="K14" s="1">
        <v>10</v>
      </c>
      <c r="L14" s="1">
        <v>1</v>
      </c>
      <c r="M14" s="1">
        <v>13</v>
      </c>
      <c r="N14" s="1" t="s">
        <v>142</v>
      </c>
    </row>
    <row r="15" s="1" customFormat="1" customHeight="1" spans="3:14">
      <c r="C15" s="1">
        <v>1110</v>
      </c>
      <c r="D15" s="1">
        <v>11</v>
      </c>
      <c r="E15" s="2" t="s">
        <v>143</v>
      </c>
      <c r="F15" s="2" t="s">
        <v>144</v>
      </c>
      <c r="G15" s="5" t="s">
        <v>110</v>
      </c>
      <c r="H15" s="5" t="s">
        <v>111</v>
      </c>
      <c r="I15" s="5" t="s">
        <v>97</v>
      </c>
      <c r="J15" s="1">
        <v>5</v>
      </c>
      <c r="K15" s="1">
        <v>10</v>
      </c>
      <c r="L15" s="1">
        <v>1</v>
      </c>
      <c r="M15" s="1">
        <v>14</v>
      </c>
      <c r="N15" s="1" t="s">
        <v>145</v>
      </c>
    </row>
    <row r="16" s="1" customFormat="1" customHeight="1" spans="3:14">
      <c r="C16" s="1">
        <v>1111</v>
      </c>
      <c r="D16" s="1">
        <v>11</v>
      </c>
      <c r="E16" s="2" t="s">
        <v>146</v>
      </c>
      <c r="F16" s="2" t="s">
        <v>147</v>
      </c>
      <c r="G16" s="5" t="s">
        <v>110</v>
      </c>
      <c r="H16" s="5" t="s">
        <v>111</v>
      </c>
      <c r="I16" s="5" t="s">
        <v>94</v>
      </c>
      <c r="J16" s="1">
        <v>5</v>
      </c>
      <c r="K16" s="1">
        <v>10</v>
      </c>
      <c r="L16" s="1">
        <v>1</v>
      </c>
      <c r="M16" s="1">
        <v>15</v>
      </c>
      <c r="N16" s="1" t="s">
        <v>148</v>
      </c>
    </row>
    <row r="17" s="1" customFormat="1" customHeight="1" spans="3:14">
      <c r="C17" s="1">
        <v>1112</v>
      </c>
      <c r="D17" s="1">
        <v>11</v>
      </c>
      <c r="E17" s="2" t="s">
        <v>149</v>
      </c>
      <c r="F17" s="2" t="s">
        <v>150</v>
      </c>
      <c r="G17" s="5" t="s">
        <v>110</v>
      </c>
      <c r="H17" s="5" t="s">
        <v>111</v>
      </c>
      <c r="I17" s="5" t="s">
        <v>92</v>
      </c>
      <c r="J17" s="1">
        <v>5</v>
      </c>
      <c r="K17" s="1">
        <v>10</v>
      </c>
      <c r="L17" s="1">
        <v>1</v>
      </c>
      <c r="M17" s="1">
        <v>16</v>
      </c>
      <c r="N17" s="1" t="s">
        <v>151</v>
      </c>
    </row>
    <row r="18" customHeight="1" spans="3:14">
      <c r="F18" s="2"/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装备图鉴</vt:lpstr>
      <vt:lpstr>宠物图鉴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2026-09-15T02:17:55Z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