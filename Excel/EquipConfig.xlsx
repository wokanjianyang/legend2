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 activeTab="5"/>
  </bookViews>
  <sheets>
    <sheet name="0-40" sheetId="7" r:id="rId1"/>
    <sheet name="50-80" sheetId="8" r:id="rId2"/>
    <sheet name="90-120" sheetId="9" r:id="rId3"/>
    <sheet name="新版" sheetId="12" r:id="rId4"/>
    <sheet name="定制" sheetId="10" r:id="rId5"/>
    <sheet name="传奇装备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武器
2 衣服
3 头盔
4 项链
5 左手镯
6 右手镯
7 左戒指
8 右戒指
9 腰带
10 鞋子
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属性ID列表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武器
2 衣服
3 头盔
4 项链
5 左手镯
6 右手镯
7 左戒指
8 右戒指
9 腰带
10 鞋子
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属性ID列表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武器
2 衣服
3 头盔
4 项链
5 左手镯
6 右手镯
7 左戒指
8 右戒指
9 腰带
10 鞋子
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属性ID列表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武器
2 衣服
3 头盔
4 项链
5 左手镯
6 右手镯
7 左戒指
8 右戒指
9 腰带
10 鞋子
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属性ID列表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武器
2 衣服
3 头盔
4 项链
5 左手镯
6 右手镯
7 左戒指
8 右戒指
9 腰带
10 鞋子
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属性ID列表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武器
2 衣服
3 头盔
4 项链
5 左手镯
6 右手镯
7 左戒指
8 右戒指
9 腰带
10 鞋子
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属性ID列表</t>
        </r>
      </text>
    </comment>
  </commentList>
</comments>
</file>

<file path=xl/sharedStrings.xml><?xml version="1.0" encoding="utf-8"?>
<sst xmlns="http://schemas.openxmlformats.org/spreadsheetml/2006/main" count="1472" uniqueCount="484">
  <si>
    <t>_id</t>
  </si>
  <si>
    <t>Cycle</t>
  </si>
  <si>
    <t>LevelRequired</t>
  </si>
  <si>
    <t>Name</t>
  </si>
  <si>
    <t>Part</t>
  </si>
  <si>
    <t>Position</t>
  </si>
  <si>
    <t>基础属性列表</t>
  </si>
  <si>
    <t>基础属性值</t>
  </si>
  <si>
    <t>Price</t>
  </si>
  <si>
    <t>Role</t>
  </si>
  <si>
    <t>RecoveryItemId</t>
  </si>
  <si>
    <t>CardId</t>
  </si>
  <si>
    <t>CardQuality</t>
  </si>
  <si>
    <t>RefineFee</t>
  </si>
  <si>
    <t>RefineMax</t>
  </si>
  <si>
    <t>Id</t>
  </si>
  <si>
    <t>AttrIdList</t>
  </si>
  <si>
    <t>AttrValueList</t>
  </si>
  <si>
    <t>int</t>
  </si>
  <si>
    <t>string</t>
  </si>
  <si>
    <t>int[]</t>
  </si>
  <si>
    <t>long[]</t>
  </si>
  <si>
    <t>long</t>
  </si>
  <si>
    <t>朽木战刃</t>
  </si>
  <si>
    <t>4,1004</t>
  </si>
  <si>
    <t>100,2</t>
  </si>
  <si>
    <t>朽木战甲</t>
  </si>
  <si>
    <t>2,1002</t>
  </si>
  <si>
    <t>朽木战链</t>
  </si>
  <si>
    <t>50,1</t>
  </si>
  <si>
    <t>朽木战盔</t>
  </si>
  <si>
    <t>1,1001</t>
  </si>
  <si>
    <t>1000,2</t>
  </si>
  <si>
    <t>朽木战镯</t>
  </si>
  <si>
    <t>5,6</t>
  </si>
  <si>
    <t>朽木战戒</t>
  </si>
  <si>
    <t>7,8</t>
  </si>
  <si>
    <t>朽木战带</t>
  </si>
  <si>
    <t>朽木战靴</t>
  </si>
  <si>
    <t>朽木法刃</t>
  </si>
  <si>
    <t>5,1005</t>
  </si>
  <si>
    <t>朽木法甲</t>
  </si>
  <si>
    <t>朽木法链</t>
  </si>
  <si>
    <t>朽木法盔</t>
  </si>
  <si>
    <t>朽木法镯</t>
  </si>
  <si>
    <t>朽木法戒</t>
  </si>
  <si>
    <t>朽木法带</t>
  </si>
  <si>
    <t>朽木法靴</t>
  </si>
  <si>
    <t>朽木道刃</t>
  </si>
  <si>
    <t>6,1006</t>
  </si>
  <si>
    <t>朽木道甲</t>
  </si>
  <si>
    <t>朽木道链</t>
  </si>
  <si>
    <t>朽木道盔</t>
  </si>
  <si>
    <t>朽木道镯</t>
  </si>
  <si>
    <t>朽木道戒</t>
  </si>
  <si>
    <t>朽木道带</t>
  </si>
  <si>
    <t>朽木道靴</t>
  </si>
  <si>
    <t>黑铁战刃</t>
  </si>
  <si>
    <t>300,4</t>
  </si>
  <si>
    <t>黑铁战甲</t>
  </si>
  <si>
    <t>黑铁战链</t>
  </si>
  <si>
    <t>150,2</t>
  </si>
  <si>
    <t>黑铁战盔</t>
  </si>
  <si>
    <t>3000,4</t>
  </si>
  <si>
    <t>黑铁战镯</t>
  </si>
  <si>
    <t>黑铁战戒</t>
  </si>
  <si>
    <t>黑铁战带</t>
  </si>
  <si>
    <t>黑铁战靴</t>
  </si>
  <si>
    <t>黑铁法刃</t>
  </si>
  <si>
    <t>黑铁法甲</t>
  </si>
  <si>
    <t>黑铁法链</t>
  </si>
  <si>
    <t>黑铁法盔</t>
  </si>
  <si>
    <t>黑铁法镯</t>
  </si>
  <si>
    <t>黑铁法戒</t>
  </si>
  <si>
    <t>黑铁法带</t>
  </si>
  <si>
    <t>黑铁法靴</t>
  </si>
  <si>
    <t>黑铁道刃</t>
  </si>
  <si>
    <t>黑铁道甲</t>
  </si>
  <si>
    <t>黑铁道链</t>
  </si>
  <si>
    <t>黑铁道盔</t>
  </si>
  <si>
    <t>黑铁道镯</t>
  </si>
  <si>
    <t>黑铁道戒</t>
  </si>
  <si>
    <t>黑铁道带</t>
  </si>
  <si>
    <t>黑铁道靴</t>
  </si>
  <si>
    <t>白银战刃</t>
  </si>
  <si>
    <t>1000,6</t>
  </si>
  <si>
    <t>白银战甲</t>
  </si>
  <si>
    <t>白银战链</t>
  </si>
  <si>
    <t>500,3</t>
  </si>
  <si>
    <t>白银战盔</t>
  </si>
  <si>
    <t>10000,6</t>
  </si>
  <si>
    <t>白银战镯</t>
  </si>
  <si>
    <t>白银战戒</t>
  </si>
  <si>
    <t>白银战带</t>
  </si>
  <si>
    <t>白银战靴</t>
  </si>
  <si>
    <t>白银法刃</t>
  </si>
  <si>
    <t>白银法甲</t>
  </si>
  <si>
    <t>白银法链</t>
  </si>
  <si>
    <t>白银法盔</t>
  </si>
  <si>
    <t>白银法镯</t>
  </si>
  <si>
    <t>白银法戒</t>
  </si>
  <si>
    <t>白银法带</t>
  </si>
  <si>
    <t>白银法靴</t>
  </si>
  <si>
    <t>白银道刃</t>
  </si>
  <si>
    <t>白银道甲</t>
  </si>
  <si>
    <t>白银道链</t>
  </si>
  <si>
    <t>白银道盔</t>
  </si>
  <si>
    <t>白银道镯</t>
  </si>
  <si>
    <t>白银道戒</t>
  </si>
  <si>
    <t>白银道带</t>
  </si>
  <si>
    <t>白银道靴</t>
  </si>
  <si>
    <t>黄金战刃</t>
  </si>
  <si>
    <t>2000,8</t>
  </si>
  <si>
    <t>黄金战甲</t>
  </si>
  <si>
    <t>黄金战链</t>
  </si>
  <si>
    <t>1000,4</t>
  </si>
  <si>
    <t>黄金战盔</t>
  </si>
  <si>
    <t>20000,8</t>
  </si>
  <si>
    <t>黄金战镯</t>
  </si>
  <si>
    <t>黄金战戒</t>
  </si>
  <si>
    <t>黄金战带</t>
  </si>
  <si>
    <t>黄金战靴</t>
  </si>
  <si>
    <t>黄金法刃</t>
  </si>
  <si>
    <t>黄金法甲</t>
  </si>
  <si>
    <t>黄金法链</t>
  </si>
  <si>
    <t>黄金法盔</t>
  </si>
  <si>
    <t>黄金法镯</t>
  </si>
  <si>
    <t>黄金法戒</t>
  </si>
  <si>
    <t>黄金法带</t>
  </si>
  <si>
    <t>黄金法靴</t>
  </si>
  <si>
    <t>黄金道刃</t>
  </si>
  <si>
    <t>黄金道甲</t>
  </si>
  <si>
    <t>黄金道链</t>
  </si>
  <si>
    <t>黄金道盔</t>
  </si>
  <si>
    <t>黄金道镯</t>
  </si>
  <si>
    <t>黄金道戒</t>
  </si>
  <si>
    <t>黄金道带</t>
  </si>
  <si>
    <t>黄金道靴</t>
  </si>
  <si>
    <t>钻石战刃</t>
  </si>
  <si>
    <t>4000,10</t>
  </si>
  <si>
    <t>钻石战甲</t>
  </si>
  <si>
    <t>钻石战链</t>
  </si>
  <si>
    <t>2000,5</t>
  </si>
  <si>
    <t>钻石战盔</t>
  </si>
  <si>
    <t>40000,10</t>
  </si>
  <si>
    <t>钻石战镯</t>
  </si>
  <si>
    <t>钻石战戒</t>
  </si>
  <si>
    <t>钻石战带</t>
  </si>
  <si>
    <t>钻石战靴</t>
  </si>
  <si>
    <t>钻石法刃</t>
  </si>
  <si>
    <t>钻石法甲</t>
  </si>
  <si>
    <t>钻石法链</t>
  </si>
  <si>
    <t>钻石法盔</t>
  </si>
  <si>
    <t>钻石法镯</t>
  </si>
  <si>
    <t>钻石法戒</t>
  </si>
  <si>
    <t>钻石法带</t>
  </si>
  <si>
    <t>钻石法靴</t>
  </si>
  <si>
    <t>钻石道刃</t>
  </si>
  <si>
    <t>钻石道甲</t>
  </si>
  <si>
    <t>钻石道链</t>
  </si>
  <si>
    <t>钻石道盔</t>
  </si>
  <si>
    <t>钻石道镯</t>
  </si>
  <si>
    <t>钻石道戒</t>
  </si>
  <si>
    <t>钻石道带</t>
  </si>
  <si>
    <t>钻石道靴</t>
  </si>
  <si>
    <t>金龙战刃</t>
  </si>
  <si>
    <t>7000,12</t>
  </si>
  <si>
    <t>金龙战甲</t>
  </si>
  <si>
    <t>金龙战链</t>
  </si>
  <si>
    <t>3500,6</t>
  </si>
  <si>
    <t>金龙战盔</t>
  </si>
  <si>
    <t>70000,12</t>
  </si>
  <si>
    <t>金龙战镯</t>
  </si>
  <si>
    <t>金龙战戒</t>
  </si>
  <si>
    <t>金龙战带</t>
  </si>
  <si>
    <t>金龙战靴</t>
  </si>
  <si>
    <t>金龙法刃</t>
  </si>
  <si>
    <t>金龙法甲</t>
  </si>
  <si>
    <t>金龙法链</t>
  </si>
  <si>
    <t>金龙法盔</t>
  </si>
  <si>
    <t>金龙法镯</t>
  </si>
  <si>
    <t>金龙法戒</t>
  </si>
  <si>
    <t>金龙法带</t>
  </si>
  <si>
    <t>金龙法靴</t>
  </si>
  <si>
    <t>金龙道刃</t>
  </si>
  <si>
    <t>金龙道甲</t>
  </si>
  <si>
    <t>金龙道链</t>
  </si>
  <si>
    <t>金龙道盔</t>
  </si>
  <si>
    <t>金龙道镯</t>
  </si>
  <si>
    <t>金龙道戒</t>
  </si>
  <si>
    <t>金龙道带</t>
  </si>
  <si>
    <t>金龙道靴</t>
  </si>
  <si>
    <t>木龙战刃</t>
  </si>
  <si>
    <t>10000,15</t>
  </si>
  <si>
    <t>木龙战甲</t>
  </si>
  <si>
    <t>木龙战链</t>
  </si>
  <si>
    <t>5000,8</t>
  </si>
  <si>
    <t>木龙战盔</t>
  </si>
  <si>
    <t>100000,15</t>
  </si>
  <si>
    <t>木龙战镯</t>
  </si>
  <si>
    <t>木龙战戒</t>
  </si>
  <si>
    <t>木龙战带</t>
  </si>
  <si>
    <t>木龙战靴</t>
  </si>
  <si>
    <t>木龙法刃</t>
  </si>
  <si>
    <t>木龙法甲</t>
  </si>
  <si>
    <t>木龙法链</t>
  </si>
  <si>
    <t>木龙法盔</t>
  </si>
  <si>
    <t>木龙法镯</t>
  </si>
  <si>
    <t>木龙法戒</t>
  </si>
  <si>
    <t>木龙法带</t>
  </si>
  <si>
    <t>木龙法靴</t>
  </si>
  <si>
    <t>木龙道刃</t>
  </si>
  <si>
    <t>木龙道甲</t>
  </si>
  <si>
    <t>木龙道链</t>
  </si>
  <si>
    <t>木龙道盔</t>
  </si>
  <si>
    <t>木龙道镯</t>
  </si>
  <si>
    <t>木龙道戒</t>
  </si>
  <si>
    <t>木龙道带</t>
  </si>
  <si>
    <t>木龙道靴</t>
  </si>
  <si>
    <t>土龙战刃</t>
  </si>
  <si>
    <t>15000,20</t>
  </si>
  <si>
    <t>土龙战甲</t>
  </si>
  <si>
    <t>土龙战链</t>
  </si>
  <si>
    <t>7500,10</t>
  </si>
  <si>
    <t>土龙战盔</t>
  </si>
  <si>
    <t>150000,20</t>
  </si>
  <si>
    <t>土龙战镯</t>
  </si>
  <si>
    <t>土龙战戒</t>
  </si>
  <si>
    <t>土龙战带</t>
  </si>
  <si>
    <t>土龙战靴</t>
  </si>
  <si>
    <t>土龙法刃</t>
  </si>
  <si>
    <t>土龙法甲</t>
  </si>
  <si>
    <t>土龙法链</t>
  </si>
  <si>
    <t>土龙法盔</t>
  </si>
  <si>
    <t>土龙法镯</t>
  </si>
  <si>
    <t>土龙法戒</t>
  </si>
  <si>
    <t>土龙法带</t>
  </si>
  <si>
    <t>土龙法靴</t>
  </si>
  <si>
    <t>土龙道刃</t>
  </si>
  <si>
    <t>土龙道甲</t>
  </si>
  <si>
    <t>土龙道链</t>
  </si>
  <si>
    <t>土龙道盔</t>
  </si>
  <si>
    <t>土龙道镯</t>
  </si>
  <si>
    <t>土龙道戒</t>
  </si>
  <si>
    <t>土龙道带</t>
  </si>
  <si>
    <t>土龙道靴</t>
  </si>
  <si>
    <t>冰龙战刃</t>
  </si>
  <si>
    <t>20000,24</t>
  </si>
  <si>
    <t>冰龙战甲</t>
  </si>
  <si>
    <t>冰龙战链</t>
  </si>
  <si>
    <t>10000,12</t>
  </si>
  <si>
    <t>冰龙战盔</t>
  </si>
  <si>
    <t>200000,24</t>
  </si>
  <si>
    <t>冰龙战镯</t>
  </si>
  <si>
    <t>冰龙战戒</t>
  </si>
  <si>
    <t>冰龙战带</t>
  </si>
  <si>
    <t>冰龙战靴</t>
  </si>
  <si>
    <t>冰龙法刃</t>
  </si>
  <si>
    <t>冰龙法甲</t>
  </si>
  <si>
    <t>冰龙法链</t>
  </si>
  <si>
    <t>冰龙法盔</t>
  </si>
  <si>
    <t>冰龙法镯</t>
  </si>
  <si>
    <t>冰龙法戒</t>
  </si>
  <si>
    <t>冰龙法带</t>
  </si>
  <si>
    <t>冰龙法靴</t>
  </si>
  <si>
    <t>冰龙道刃</t>
  </si>
  <si>
    <t>冰龙道甲</t>
  </si>
  <si>
    <t>冰龙道链</t>
  </si>
  <si>
    <t>冰龙道盔</t>
  </si>
  <si>
    <t>冰龙道镯</t>
  </si>
  <si>
    <t>冰龙道戒</t>
  </si>
  <si>
    <t>冰龙道带</t>
  </si>
  <si>
    <t>冰龙道靴</t>
  </si>
  <si>
    <t>炎龙战刃</t>
  </si>
  <si>
    <t>25000,28</t>
  </si>
  <si>
    <t>炎龙战甲</t>
  </si>
  <si>
    <t>炎龙战链</t>
  </si>
  <si>
    <t>12500,14</t>
  </si>
  <si>
    <t>炎龙战盔</t>
  </si>
  <si>
    <t>250000,28</t>
  </si>
  <si>
    <t>炎龙战镯</t>
  </si>
  <si>
    <t>炎龙战戒</t>
  </si>
  <si>
    <t>炎龙战带</t>
  </si>
  <si>
    <t>炎龙战靴</t>
  </si>
  <si>
    <t>炎龙法刃</t>
  </si>
  <si>
    <t>炎龙法甲</t>
  </si>
  <si>
    <t>炎龙法链</t>
  </si>
  <si>
    <t>炎龙法盔</t>
  </si>
  <si>
    <t>炎龙法镯</t>
  </si>
  <si>
    <t>炎龙法戒</t>
  </si>
  <si>
    <t>炎龙法带</t>
  </si>
  <si>
    <t>炎龙法靴</t>
  </si>
  <si>
    <t>炎龙道刃</t>
  </si>
  <si>
    <t>炎龙道甲</t>
  </si>
  <si>
    <t>炎龙道链</t>
  </si>
  <si>
    <t>炎龙道盔</t>
  </si>
  <si>
    <t>炎龙道镯</t>
  </si>
  <si>
    <t>炎龙道戒</t>
  </si>
  <si>
    <t>炎龙道带</t>
  </si>
  <si>
    <t>炎龙道靴</t>
  </si>
  <si>
    <t>光龙战刃</t>
  </si>
  <si>
    <t>30000,32</t>
  </si>
  <si>
    <t>光龙战甲</t>
  </si>
  <si>
    <t>光龙战链</t>
  </si>
  <si>
    <t>15000,16</t>
  </si>
  <si>
    <t>光龙战盔</t>
  </si>
  <si>
    <t>300000,32</t>
  </si>
  <si>
    <t>光龙战镯</t>
  </si>
  <si>
    <t>光龙战戒</t>
  </si>
  <si>
    <t>光龙战带</t>
  </si>
  <si>
    <t>光龙战靴</t>
  </si>
  <si>
    <t>光龙法刃</t>
  </si>
  <si>
    <t>光龙法甲</t>
  </si>
  <si>
    <t>光龙法链</t>
  </si>
  <si>
    <t>光龙法盔</t>
  </si>
  <si>
    <t>光龙法镯</t>
  </si>
  <si>
    <t>光龙法戒</t>
  </si>
  <si>
    <t>光龙法带</t>
  </si>
  <si>
    <t>光龙法靴</t>
  </si>
  <si>
    <t>光龙道刃</t>
  </si>
  <si>
    <t>光龙道甲</t>
  </si>
  <si>
    <t>光龙道链</t>
  </si>
  <si>
    <t>光龙道盔</t>
  </si>
  <si>
    <t>光龙道镯</t>
  </si>
  <si>
    <t>光龙道戒</t>
  </si>
  <si>
    <t>光龙道带</t>
  </si>
  <si>
    <t>光龙道靴</t>
  </si>
  <si>
    <t>暗龙战刃</t>
  </si>
  <si>
    <t>40000,36</t>
  </si>
  <si>
    <t>暗龙战甲</t>
  </si>
  <si>
    <t>暗龙战链</t>
  </si>
  <si>
    <t>20000,18</t>
  </si>
  <si>
    <t>暗龙战盔</t>
  </si>
  <si>
    <t>400000,36</t>
  </si>
  <si>
    <t>暗龙战镯</t>
  </si>
  <si>
    <t>暗龙战戒</t>
  </si>
  <si>
    <t>暗龙战带</t>
  </si>
  <si>
    <t>暗龙战靴</t>
  </si>
  <si>
    <t>暗龙法刃</t>
  </si>
  <si>
    <t>暗龙法甲</t>
  </si>
  <si>
    <t>暗龙法链</t>
  </si>
  <si>
    <t>暗龙法盔</t>
  </si>
  <si>
    <t>暗龙法镯</t>
  </si>
  <si>
    <t>暗龙法戒</t>
  </si>
  <si>
    <t>暗龙法带</t>
  </si>
  <si>
    <t>暗龙法靴</t>
  </si>
  <si>
    <t>暗龙道刃</t>
  </si>
  <si>
    <t>暗龙道甲</t>
  </si>
  <si>
    <t>暗龙道链</t>
  </si>
  <si>
    <t>暗龙道盔</t>
  </si>
  <si>
    <t>暗龙道镯</t>
  </si>
  <si>
    <t>暗龙道戒</t>
  </si>
  <si>
    <t>暗龙道带</t>
  </si>
  <si>
    <t>暗龙道靴</t>
  </si>
  <si>
    <t>天龙战刃</t>
  </si>
  <si>
    <t>50000,40</t>
  </si>
  <si>
    <t>天龙战甲</t>
  </si>
  <si>
    <t>天龙战链</t>
  </si>
  <si>
    <t>25000,20</t>
  </si>
  <si>
    <t>天龙战盔</t>
  </si>
  <si>
    <t>500000,40</t>
  </si>
  <si>
    <t>天龙战镯</t>
  </si>
  <si>
    <t>天龙战戒</t>
  </si>
  <si>
    <t>天龙战带</t>
  </si>
  <si>
    <t>天龙战靴</t>
  </si>
  <si>
    <t>天龙法杖</t>
  </si>
  <si>
    <t>天龙法衣</t>
  </si>
  <si>
    <t>天龙法链</t>
  </si>
  <si>
    <t>天龙法盔</t>
  </si>
  <si>
    <t>天龙法镯</t>
  </si>
  <si>
    <t>天龙法戒</t>
  </si>
  <si>
    <t>天龙法带</t>
  </si>
  <si>
    <t>天龙法靴</t>
  </si>
  <si>
    <t>天龙道剑</t>
  </si>
  <si>
    <t>天龙道袍</t>
  </si>
  <si>
    <t>天龙道链</t>
  </si>
  <si>
    <t>天龙道盔</t>
  </si>
  <si>
    <t>天龙道镯</t>
  </si>
  <si>
    <t>天龙道戒</t>
  </si>
  <si>
    <t>天龙道带</t>
  </si>
  <si>
    <t>天龙道靴</t>
  </si>
  <si>
    <t>新手武器</t>
  </si>
  <si>
    <t>4,5,6</t>
  </si>
  <si>
    <t>50,50,50</t>
  </si>
  <si>
    <t>新手衣服</t>
  </si>
  <si>
    <t>1,2</t>
  </si>
  <si>
    <t>1000,10</t>
  </si>
  <si>
    <t>#</t>
  </si>
  <si>
    <t>传奇ID</t>
  </si>
  <si>
    <t>Quality</t>
  </si>
  <si>
    <t>备注</t>
  </si>
  <si>
    <t>LegendId</t>
  </si>
  <si>
    <t>治愈护面</t>
  </si>
  <si>
    <t>5000,5</t>
  </si>
  <si>
    <t>回复效果提高100%</t>
  </si>
  <si>
    <t>治愈护手</t>
  </si>
  <si>
    <t>3,1003</t>
  </si>
  <si>
    <t>500,5</t>
  </si>
  <si>
    <t>减伤，诅咒，闪避</t>
  </si>
  <si>
    <t>治愈护袍</t>
  </si>
  <si>
    <t>财富扳指</t>
  </si>
  <si>
    <t>15000,8</t>
  </si>
  <si>
    <t>金币加成增加20%</t>
  </si>
  <si>
    <t>财富项链</t>
  </si>
  <si>
    <t>1500,8</t>
  </si>
  <si>
    <t>杀敌金币，杀敌金币，杀敌金币，</t>
  </si>
  <si>
    <t>财富玉带</t>
  </si>
  <si>
    <t>杀戮血剑</t>
  </si>
  <si>
    <t>3000,10</t>
  </si>
  <si>
    <t>经验加成增加20%</t>
  </si>
  <si>
    <t>杀戮面罩</t>
  </si>
  <si>
    <t>30000,10</t>
  </si>
  <si>
    <t>杀戮战靴</t>
  </si>
  <si>
    <t>狂风面具</t>
  </si>
  <si>
    <t>6000,12</t>
  </si>
  <si>
    <t>攻速增加10%，冷却增加10%</t>
  </si>
  <si>
    <t>狂风项链</t>
  </si>
  <si>
    <t>狂风戒指</t>
  </si>
  <si>
    <t>60000,12</t>
  </si>
  <si>
    <t>重击巨剑</t>
  </si>
  <si>
    <t>12000,14</t>
  </si>
  <si>
    <t>此次攻击概率翻倍</t>
  </si>
  <si>
    <t>重击护腕</t>
  </si>
  <si>
    <t>120000,14</t>
  </si>
  <si>
    <t>重击腰带</t>
  </si>
  <si>
    <t>暴击扳指</t>
  </si>
  <si>
    <t>24000,16</t>
  </si>
  <si>
    <t>如果此次攻击暴击了，伤害额外翻倍</t>
  </si>
  <si>
    <t>暴击板甲</t>
  </si>
  <si>
    <t>240000,16</t>
  </si>
  <si>
    <t>暴击铁履</t>
  </si>
  <si>
    <t>致命之剑</t>
  </si>
  <si>
    <t>36000,18</t>
  </si>
  <si>
    <t>攻击概率降低50%，概率2倍，5倍，10倍，100倍</t>
  </si>
  <si>
    <t>致命之镯</t>
  </si>
  <si>
    <t>360000,18</t>
  </si>
  <si>
    <t>致命之戒</t>
  </si>
  <si>
    <t>天命之剑</t>
  </si>
  <si>
    <t>50000,20</t>
  </si>
  <si>
    <t>如果此次触发了致命攻击了，伤害额外翻倍</t>
  </si>
  <si>
    <t>天命之链</t>
  </si>
  <si>
    <t>500000,20</t>
  </si>
  <si>
    <t>天命之戒</t>
  </si>
  <si>
    <t>福运护面</t>
  </si>
  <si>
    <t>60000,22</t>
  </si>
  <si>
    <t>首次攻击敌人，降低敌人10%最大生命</t>
  </si>
  <si>
    <t>福运护手</t>
  </si>
  <si>
    <t>6000,22</t>
  </si>
  <si>
    <t>福运护袍</t>
  </si>
  <si>
    <t>寻宝扳指</t>
  </si>
  <si>
    <t>70000,24</t>
  </si>
  <si>
    <t>最高承伤10%</t>
  </si>
  <si>
    <t>寻宝项链</t>
  </si>
  <si>
    <t>7000,24</t>
  </si>
  <si>
    <t>寻宝玉带</t>
  </si>
  <si>
    <t>背刺之刺</t>
  </si>
  <si>
    <t>80000,26</t>
  </si>
  <si>
    <t>背刺面罩</t>
  </si>
  <si>
    <t>8000,26</t>
  </si>
  <si>
    <t>背刺之镯</t>
  </si>
  <si>
    <t>斩杀板甲</t>
  </si>
  <si>
    <t>90000,28</t>
  </si>
  <si>
    <t>斩杀扳指</t>
  </si>
  <si>
    <t>9000,28</t>
  </si>
  <si>
    <t>斩杀铁履</t>
  </si>
  <si>
    <t>不灭护面</t>
  </si>
  <si>
    <t>100000,30</t>
  </si>
  <si>
    <t>不灭护手</t>
  </si>
  <si>
    <t>10000,30</t>
  </si>
  <si>
    <t>不灭护袍</t>
  </si>
  <si>
    <t>镇岳铁甲</t>
  </si>
  <si>
    <t>镇岳铁带</t>
  </si>
  <si>
    <t>镇岳铁腿</t>
  </si>
  <si>
    <t>冰霜项链</t>
  </si>
  <si>
    <t>冰霜戒指</t>
  </si>
  <si>
    <t>冰霜银带</t>
  </si>
  <si>
    <t>毒蛇之刺</t>
  </si>
  <si>
    <t>每次攻击，有1%概率降低敌人最大生命的1%</t>
  </si>
  <si>
    <t>毒蛇之镯</t>
  </si>
  <si>
    <t>毒蛇之戒</t>
  </si>
  <si>
    <t>贪婪之链</t>
  </si>
  <si>
    <t>怪物掉落概率翻倍</t>
  </si>
  <si>
    <t>贪婪之镯</t>
  </si>
  <si>
    <t>贪婪之戒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</si>
</sst>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等线"/>
      <charset val="134"/>
    </font>
    <font>
      <b/>
      <sz val="10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NumberFormat="1" applyFont="1" applyBorder="1"/>
    <xf numFmtId="0" fontId="2" fillId="2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0" fillId="0" borderId="0" xfId="0" applyBorder="1"/>
    <xf numFmtId="0" fontId="1" fillId="0" borderId="0" xfId="0" applyNumberFormat="1" applyFont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0" fillId="0" borderId="0" xfId="0" applyNumberFormat="1"/>
    <xf numFmtId="0" fontId="2" fillId="2" borderId="0" xfId="0" applyNumberFormat="1" applyFont="1" applyFill="1" applyAlignment="1">
      <alignment horizontal="center"/>
    </xf>
    <xf numFmtId="0" fontId="2" fillId="3" borderId="0" xfId="0" applyNumberFormat="1" applyFont="1" applyFill="1" applyAlignment="1">
      <alignment horizontal="left"/>
    </xf>
    <xf numFmtId="0" fontId="2" fillId="3" borderId="0" xfId="0" applyNumberFormat="1" applyFont="1" applyFill="1" applyAlignment="1">
      <alignment horizontal="left" vertical="center"/>
    </xf>
    <xf numFmtId="0" fontId="1" fillId="0" borderId="0" xfId="0" applyNumberFormat="1" applyFont="1" quotePrefix="1"/>
    <xf numFmtId="0" fontId="1" fillId="0" borderId="0" xfId="0" applyFont="1" quotePrefix="1"/>
    <xf numFmtId="0" fontId="1" fillId="0" borderId="0" xfId="0" applyFont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Q107"/>
  <sheetViews>
    <sheetView topLeftCell="B1" workbookViewId="0">
      <selection activeCell="K81" sqref="K81:K104"/>
    </sheetView>
  </sheetViews>
  <sheetFormatPr defaultColWidth="13" defaultRowHeight="18" customHeight="1"/>
  <cols>
    <col min="1" max="1" width="6.125" style="9" customWidth="1"/>
    <col min="2" max="2" width="6.5" style="9" customWidth="1"/>
    <col min="3" max="3" width="13" style="9" customWidth="1"/>
    <col min="4" max="4" width="11.25" style="9" customWidth="1"/>
    <col min="5" max="7" width="13" style="9" customWidth="1"/>
    <col min="8" max="8" width="12.5" style="9" customWidth="1"/>
    <col min="9" max="9" width="18" style="9" customWidth="1"/>
    <col min="10" max="10" width="19.125" style="9" customWidth="1"/>
    <col min="11" max="16380" width="13" style="9" customWidth="1"/>
    <col min="16381" max="16384" width="13" style="9"/>
  </cols>
  <sheetData>
    <row r="3" s="9" customFormat="1" customHeight="1" spans="3:17">
      <c r="C3" s="13" t="s">
        <v>0</v>
      </c>
      <c r="D3" s="13" t="s">
        <v>1</v>
      </c>
      <c r="E3" s="13" t="s">
        <v>2</v>
      </c>
      <c r="F3" s="13" t="s">
        <v>3</v>
      </c>
      <c r="G3" s="13" t="s">
        <v>4</v>
      </c>
      <c r="H3" s="13" t="s">
        <v>5</v>
      </c>
      <c r="I3" s="14" t="s">
        <v>6</v>
      </c>
      <c r="J3" s="15" t="s">
        <v>7</v>
      </c>
      <c r="K3" s="13" t="s">
        <v>8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  <c r="Q3" s="13" t="s">
        <v>14</v>
      </c>
    </row>
    <row r="4" s="9" customFormat="1" customHeight="1" spans="3:17">
      <c r="C4" s="13" t="s">
        <v>15</v>
      </c>
      <c r="D4" s="13" t="s">
        <v>1</v>
      </c>
      <c r="E4" s="13" t="s">
        <v>2</v>
      </c>
      <c r="F4" s="13" t="s">
        <v>3</v>
      </c>
      <c r="G4" s="13" t="s">
        <v>4</v>
      </c>
      <c r="H4" s="13" t="s">
        <v>5</v>
      </c>
      <c r="I4" s="14" t="s">
        <v>16</v>
      </c>
      <c r="J4" s="15" t="s">
        <v>17</v>
      </c>
      <c r="K4" s="13" t="s">
        <v>8</v>
      </c>
      <c r="L4" s="13" t="s">
        <v>9</v>
      </c>
      <c r="M4" s="13" t="s">
        <v>10</v>
      </c>
      <c r="N4" s="13" t="s">
        <v>11</v>
      </c>
      <c r="O4" s="13" t="s">
        <v>12</v>
      </c>
      <c r="P4" s="13" t="s">
        <v>13</v>
      </c>
      <c r="Q4" s="13" t="s">
        <v>14</v>
      </c>
    </row>
    <row r="5" s="9" customFormat="1" customHeight="1" spans="3:17">
      <c r="C5" s="13" t="s">
        <v>18</v>
      </c>
      <c r="D5" s="13" t="s">
        <v>18</v>
      </c>
      <c r="E5" s="13" t="s">
        <v>18</v>
      </c>
      <c r="F5" s="13" t="s">
        <v>19</v>
      </c>
      <c r="G5" s="13" t="s">
        <v>18</v>
      </c>
      <c r="H5" s="13" t="s">
        <v>20</v>
      </c>
      <c r="I5" s="14" t="s">
        <v>20</v>
      </c>
      <c r="J5" s="15" t="s">
        <v>21</v>
      </c>
      <c r="K5" s="13" t="s">
        <v>22</v>
      </c>
      <c r="L5" s="13" t="s">
        <v>18</v>
      </c>
      <c r="M5" s="13" t="s">
        <v>18</v>
      </c>
      <c r="N5" s="13" t="s">
        <v>18</v>
      </c>
      <c r="O5" s="13" t="s">
        <v>18</v>
      </c>
      <c r="P5" s="13" t="s">
        <v>22</v>
      </c>
      <c r="Q5" s="13" t="s">
        <v>22</v>
      </c>
    </row>
    <row r="6" s="9" customFormat="1" customHeight="1" spans="3:17">
      <c r="C6" s="9">
        <v>210001</v>
      </c>
      <c r="D6" s="9">
        <v>1</v>
      </c>
      <c r="E6" s="9">
        <v>1</v>
      </c>
      <c r="F6" s="9" t="s">
        <v>23</v>
      </c>
      <c r="G6" s="9">
        <v>1</v>
      </c>
      <c r="H6" s="9">
        <v>1</v>
      </c>
      <c r="I6" s="16" t="s">
        <v>24</v>
      </c>
      <c r="J6" s="16" t="s">
        <v>25</v>
      </c>
      <c r="K6" s="9">
        <v>300</v>
      </c>
      <c r="L6" s="9">
        <v>1</v>
      </c>
      <c r="M6" s="9">
        <v>0</v>
      </c>
      <c r="N6" s="9">
        <v>1</v>
      </c>
      <c r="O6" s="9">
        <v>5</v>
      </c>
      <c r="P6" s="9">
        <v>2</v>
      </c>
      <c r="Q6" s="9">
        <v>10</v>
      </c>
    </row>
    <row r="7" s="9" customFormat="1" customHeight="1" spans="3:17">
      <c r="C7" s="9">
        <v>210002</v>
      </c>
      <c r="D7" s="9">
        <v>1</v>
      </c>
      <c r="E7" s="9">
        <v>1</v>
      </c>
      <c r="F7" s="9" t="s">
        <v>26</v>
      </c>
      <c r="G7" s="9">
        <v>2</v>
      </c>
      <c r="H7" s="9">
        <v>2</v>
      </c>
      <c r="I7" s="16" t="s">
        <v>27</v>
      </c>
      <c r="J7" s="16" t="s">
        <v>25</v>
      </c>
      <c r="K7" s="9">
        <v>300</v>
      </c>
      <c r="L7" s="9">
        <v>1</v>
      </c>
      <c r="M7" s="9">
        <v>0</v>
      </c>
      <c r="N7" s="9">
        <v>2</v>
      </c>
      <c r="O7" s="9">
        <v>5</v>
      </c>
      <c r="P7" s="9">
        <v>2</v>
      </c>
      <c r="Q7" s="9">
        <v>10</v>
      </c>
    </row>
    <row r="8" s="9" customFormat="1" customHeight="1" spans="3:17">
      <c r="C8" s="9">
        <v>210003</v>
      </c>
      <c r="D8" s="9">
        <v>1</v>
      </c>
      <c r="E8" s="9">
        <v>1</v>
      </c>
      <c r="F8" s="9" t="s">
        <v>28</v>
      </c>
      <c r="G8" s="9">
        <v>3</v>
      </c>
      <c r="H8" s="9">
        <v>3</v>
      </c>
      <c r="I8" s="16" t="s">
        <v>24</v>
      </c>
      <c r="J8" s="16" t="s">
        <v>29</v>
      </c>
      <c r="K8" s="9">
        <v>100</v>
      </c>
      <c r="L8" s="9">
        <v>1</v>
      </c>
      <c r="M8" s="9">
        <v>0</v>
      </c>
      <c r="N8" s="9">
        <v>3</v>
      </c>
      <c r="O8" s="9">
        <v>5</v>
      </c>
      <c r="P8" s="9">
        <v>1</v>
      </c>
      <c r="Q8" s="9">
        <v>10</v>
      </c>
    </row>
    <row r="9" s="9" customFormat="1" customHeight="1" spans="3:17">
      <c r="C9" s="9">
        <v>210004</v>
      </c>
      <c r="D9" s="9">
        <v>1</v>
      </c>
      <c r="E9" s="9">
        <v>1</v>
      </c>
      <c r="F9" s="9" t="s">
        <v>30</v>
      </c>
      <c r="G9" s="9">
        <v>4</v>
      </c>
      <c r="H9" s="9">
        <v>4</v>
      </c>
      <c r="I9" s="16" t="s">
        <v>31</v>
      </c>
      <c r="J9" s="16" t="s">
        <v>32</v>
      </c>
      <c r="K9" s="9">
        <v>100</v>
      </c>
      <c r="L9" s="9">
        <v>1</v>
      </c>
      <c r="M9" s="9">
        <v>0</v>
      </c>
      <c r="N9" s="9">
        <v>3</v>
      </c>
      <c r="O9" s="9">
        <v>5</v>
      </c>
      <c r="P9" s="9">
        <v>1</v>
      </c>
      <c r="Q9" s="9">
        <v>10</v>
      </c>
    </row>
    <row r="10" s="9" customFormat="1" customHeight="1" spans="3:17">
      <c r="C10" s="9">
        <v>210005</v>
      </c>
      <c r="D10" s="9">
        <v>1</v>
      </c>
      <c r="E10" s="9">
        <v>1</v>
      </c>
      <c r="F10" s="9" t="s">
        <v>33</v>
      </c>
      <c r="G10" s="9">
        <v>5</v>
      </c>
      <c r="H10" s="16" t="s">
        <v>34</v>
      </c>
      <c r="I10" s="16" t="s">
        <v>31</v>
      </c>
      <c r="J10" s="16" t="s">
        <v>32</v>
      </c>
      <c r="K10" s="9">
        <v>100</v>
      </c>
      <c r="L10" s="9">
        <v>1</v>
      </c>
      <c r="M10" s="9">
        <v>0</v>
      </c>
      <c r="N10" s="9">
        <v>3</v>
      </c>
      <c r="O10" s="9">
        <v>5</v>
      </c>
      <c r="P10" s="9">
        <v>1</v>
      </c>
      <c r="Q10" s="9">
        <v>10</v>
      </c>
    </row>
    <row r="11" s="9" customFormat="1" customHeight="1" spans="3:17">
      <c r="C11" s="9">
        <v>210006</v>
      </c>
      <c r="D11" s="9">
        <v>1</v>
      </c>
      <c r="E11" s="9">
        <v>1</v>
      </c>
      <c r="F11" s="9" t="s">
        <v>35</v>
      </c>
      <c r="G11" s="9">
        <v>7</v>
      </c>
      <c r="H11" s="16" t="s">
        <v>36</v>
      </c>
      <c r="I11" s="16" t="s">
        <v>24</v>
      </c>
      <c r="J11" s="16" t="s">
        <v>29</v>
      </c>
      <c r="K11" s="9">
        <v>100</v>
      </c>
      <c r="L11" s="9">
        <v>1</v>
      </c>
      <c r="M11" s="9">
        <v>0</v>
      </c>
      <c r="N11" s="9">
        <v>3</v>
      </c>
      <c r="O11" s="9">
        <v>5</v>
      </c>
      <c r="P11" s="9">
        <v>1</v>
      </c>
      <c r="Q11" s="9">
        <v>10</v>
      </c>
    </row>
    <row r="12" s="9" customFormat="1" customHeight="1" spans="3:17">
      <c r="C12" s="9">
        <v>210007</v>
      </c>
      <c r="D12" s="9">
        <v>1</v>
      </c>
      <c r="E12" s="9">
        <v>1</v>
      </c>
      <c r="F12" s="9" t="s">
        <v>37</v>
      </c>
      <c r="G12" s="9">
        <v>9</v>
      </c>
      <c r="H12" s="9">
        <v>9</v>
      </c>
      <c r="I12" s="16" t="s">
        <v>27</v>
      </c>
      <c r="J12" s="16" t="s">
        <v>29</v>
      </c>
      <c r="K12" s="9">
        <v>100</v>
      </c>
      <c r="L12" s="9">
        <v>1</v>
      </c>
      <c r="M12" s="9">
        <v>0</v>
      </c>
      <c r="N12" s="9">
        <v>3</v>
      </c>
      <c r="O12" s="9">
        <v>5</v>
      </c>
      <c r="P12" s="9">
        <v>1</v>
      </c>
      <c r="Q12" s="9">
        <v>10</v>
      </c>
    </row>
    <row r="13" s="9" customFormat="1" customHeight="1" spans="3:17">
      <c r="C13" s="9">
        <v>210008</v>
      </c>
      <c r="D13" s="9">
        <v>1</v>
      </c>
      <c r="E13" s="9">
        <v>1</v>
      </c>
      <c r="F13" s="9" t="s">
        <v>38</v>
      </c>
      <c r="G13" s="9">
        <v>10</v>
      </c>
      <c r="H13" s="9">
        <v>10</v>
      </c>
      <c r="I13" s="16" t="s">
        <v>31</v>
      </c>
      <c r="J13" s="16" t="s">
        <v>32</v>
      </c>
      <c r="K13" s="9">
        <v>100</v>
      </c>
      <c r="L13" s="9">
        <v>1</v>
      </c>
      <c r="M13" s="9">
        <v>0</v>
      </c>
      <c r="N13" s="9">
        <v>3</v>
      </c>
      <c r="O13" s="9">
        <v>5</v>
      </c>
      <c r="P13" s="9">
        <v>1</v>
      </c>
      <c r="Q13" s="9">
        <v>10</v>
      </c>
    </row>
    <row r="14" s="9" customFormat="1" customHeight="1" spans="3:17">
      <c r="C14" s="9">
        <v>220001</v>
      </c>
      <c r="D14" s="9">
        <v>1</v>
      </c>
      <c r="E14" s="9">
        <v>1</v>
      </c>
      <c r="F14" s="9" t="s">
        <v>39</v>
      </c>
      <c r="G14" s="9">
        <v>1</v>
      </c>
      <c r="H14" s="9">
        <v>1</v>
      </c>
      <c r="I14" s="16" t="s">
        <v>40</v>
      </c>
      <c r="J14" s="16" t="s">
        <v>25</v>
      </c>
      <c r="K14" s="9">
        <v>300</v>
      </c>
      <c r="L14" s="9">
        <v>2</v>
      </c>
      <c r="M14" s="9">
        <v>0</v>
      </c>
      <c r="N14" s="9">
        <v>1</v>
      </c>
      <c r="O14" s="9">
        <v>5</v>
      </c>
      <c r="P14" s="9">
        <v>2</v>
      </c>
      <c r="Q14" s="9">
        <v>10</v>
      </c>
    </row>
    <row r="15" s="9" customFormat="1" customHeight="1" spans="3:17">
      <c r="C15" s="9">
        <v>220002</v>
      </c>
      <c r="D15" s="9">
        <v>1</v>
      </c>
      <c r="E15" s="9">
        <v>1</v>
      </c>
      <c r="F15" s="9" t="s">
        <v>41</v>
      </c>
      <c r="G15" s="9">
        <v>2</v>
      </c>
      <c r="H15" s="9">
        <v>2</v>
      </c>
      <c r="I15" s="16" t="s">
        <v>27</v>
      </c>
      <c r="J15" s="16" t="s">
        <v>25</v>
      </c>
      <c r="K15" s="9">
        <v>300</v>
      </c>
      <c r="L15" s="9">
        <v>2</v>
      </c>
      <c r="M15" s="9">
        <v>0</v>
      </c>
      <c r="N15" s="9">
        <v>2</v>
      </c>
      <c r="O15" s="9">
        <v>5</v>
      </c>
      <c r="P15" s="9">
        <v>2</v>
      </c>
      <c r="Q15" s="9">
        <v>10</v>
      </c>
    </row>
    <row r="16" s="9" customFormat="1" customHeight="1" spans="3:17">
      <c r="C16" s="9">
        <v>220003</v>
      </c>
      <c r="D16" s="9">
        <v>1</v>
      </c>
      <c r="E16" s="9">
        <v>1</v>
      </c>
      <c r="F16" s="9" t="s">
        <v>42</v>
      </c>
      <c r="G16" s="9">
        <v>3</v>
      </c>
      <c r="H16" s="9">
        <v>3</v>
      </c>
      <c r="I16" s="16" t="s">
        <v>40</v>
      </c>
      <c r="J16" s="16" t="s">
        <v>29</v>
      </c>
      <c r="K16" s="9">
        <v>100</v>
      </c>
      <c r="L16" s="9">
        <v>2</v>
      </c>
      <c r="M16" s="9">
        <v>0</v>
      </c>
      <c r="N16" s="9">
        <v>3</v>
      </c>
      <c r="O16" s="9">
        <v>5</v>
      </c>
      <c r="P16" s="9">
        <v>1</v>
      </c>
      <c r="Q16" s="9">
        <v>10</v>
      </c>
    </row>
    <row r="17" s="9" customFormat="1" customHeight="1" spans="3:17">
      <c r="C17" s="9">
        <v>220004</v>
      </c>
      <c r="D17" s="9">
        <v>1</v>
      </c>
      <c r="E17" s="9">
        <v>1</v>
      </c>
      <c r="F17" s="9" t="s">
        <v>43</v>
      </c>
      <c r="G17" s="9">
        <v>4</v>
      </c>
      <c r="H17" s="9">
        <v>4</v>
      </c>
      <c r="I17" s="16" t="s">
        <v>31</v>
      </c>
      <c r="J17" s="16" t="s">
        <v>32</v>
      </c>
      <c r="K17" s="9">
        <v>100</v>
      </c>
      <c r="L17" s="9">
        <v>2</v>
      </c>
      <c r="M17" s="9">
        <v>0</v>
      </c>
      <c r="N17" s="9">
        <v>3</v>
      </c>
      <c r="O17" s="9">
        <v>5</v>
      </c>
      <c r="P17" s="9">
        <v>1</v>
      </c>
      <c r="Q17" s="9">
        <v>10</v>
      </c>
    </row>
    <row r="18" s="9" customFormat="1" customHeight="1" spans="3:17">
      <c r="C18" s="9">
        <v>220005</v>
      </c>
      <c r="D18" s="9">
        <v>1</v>
      </c>
      <c r="E18" s="9">
        <v>1</v>
      </c>
      <c r="F18" s="9" t="s">
        <v>44</v>
      </c>
      <c r="G18" s="9">
        <v>5</v>
      </c>
      <c r="H18" s="16" t="s">
        <v>34</v>
      </c>
      <c r="I18" s="16" t="s">
        <v>31</v>
      </c>
      <c r="J18" s="16" t="s">
        <v>32</v>
      </c>
      <c r="K18" s="9">
        <v>100</v>
      </c>
      <c r="L18" s="9">
        <v>2</v>
      </c>
      <c r="M18" s="9">
        <v>0</v>
      </c>
      <c r="N18" s="9">
        <v>3</v>
      </c>
      <c r="O18" s="9">
        <v>5</v>
      </c>
      <c r="P18" s="9">
        <v>1</v>
      </c>
      <c r="Q18" s="9">
        <v>10</v>
      </c>
    </row>
    <row r="19" s="9" customFormat="1" customHeight="1" spans="3:17">
      <c r="C19" s="9">
        <v>220006</v>
      </c>
      <c r="D19" s="9">
        <v>1</v>
      </c>
      <c r="E19" s="9">
        <v>1</v>
      </c>
      <c r="F19" s="9" t="s">
        <v>45</v>
      </c>
      <c r="G19" s="9">
        <v>7</v>
      </c>
      <c r="H19" s="16" t="s">
        <v>36</v>
      </c>
      <c r="I19" s="16" t="s">
        <v>40</v>
      </c>
      <c r="J19" s="16" t="s">
        <v>29</v>
      </c>
      <c r="K19" s="9">
        <v>100</v>
      </c>
      <c r="L19" s="9">
        <v>2</v>
      </c>
      <c r="M19" s="9">
        <v>0</v>
      </c>
      <c r="N19" s="9">
        <v>3</v>
      </c>
      <c r="O19" s="9">
        <v>5</v>
      </c>
      <c r="P19" s="9">
        <v>1</v>
      </c>
      <c r="Q19" s="9">
        <v>10</v>
      </c>
    </row>
    <row r="20" s="9" customFormat="1" customHeight="1" spans="3:17">
      <c r="C20" s="9">
        <v>220007</v>
      </c>
      <c r="D20" s="9">
        <v>1</v>
      </c>
      <c r="E20" s="9">
        <v>1</v>
      </c>
      <c r="F20" s="9" t="s">
        <v>46</v>
      </c>
      <c r="G20" s="9">
        <v>9</v>
      </c>
      <c r="H20" s="9">
        <v>9</v>
      </c>
      <c r="I20" s="16" t="s">
        <v>27</v>
      </c>
      <c r="J20" s="16" t="s">
        <v>29</v>
      </c>
      <c r="K20" s="9">
        <v>100</v>
      </c>
      <c r="L20" s="9">
        <v>2</v>
      </c>
      <c r="M20" s="9">
        <v>0</v>
      </c>
      <c r="N20" s="9">
        <v>3</v>
      </c>
      <c r="O20" s="9">
        <v>5</v>
      </c>
      <c r="P20" s="9">
        <v>1</v>
      </c>
      <c r="Q20" s="9">
        <v>10</v>
      </c>
    </row>
    <row r="21" s="9" customFormat="1" customHeight="1" spans="3:17">
      <c r="C21" s="9">
        <v>220008</v>
      </c>
      <c r="D21" s="9">
        <v>1</v>
      </c>
      <c r="E21" s="9">
        <v>1</v>
      </c>
      <c r="F21" s="9" t="s">
        <v>47</v>
      </c>
      <c r="G21" s="9">
        <v>10</v>
      </c>
      <c r="H21" s="9">
        <v>10</v>
      </c>
      <c r="I21" s="16" t="s">
        <v>31</v>
      </c>
      <c r="J21" s="16" t="s">
        <v>32</v>
      </c>
      <c r="K21" s="9">
        <v>100</v>
      </c>
      <c r="L21" s="9">
        <v>2</v>
      </c>
      <c r="M21" s="9">
        <v>0</v>
      </c>
      <c r="N21" s="9">
        <v>3</v>
      </c>
      <c r="O21" s="9">
        <v>5</v>
      </c>
      <c r="P21" s="9">
        <v>1</v>
      </c>
      <c r="Q21" s="9">
        <v>10</v>
      </c>
    </row>
    <row r="22" s="9" customFormat="1" customHeight="1" spans="3:17">
      <c r="C22" s="9">
        <v>230001</v>
      </c>
      <c r="D22" s="9">
        <v>1</v>
      </c>
      <c r="E22" s="9">
        <v>1</v>
      </c>
      <c r="F22" s="9" t="s">
        <v>48</v>
      </c>
      <c r="G22" s="9">
        <v>1</v>
      </c>
      <c r="H22" s="9">
        <v>1</v>
      </c>
      <c r="I22" s="16" t="s">
        <v>49</v>
      </c>
      <c r="J22" s="16" t="s">
        <v>25</v>
      </c>
      <c r="K22" s="9">
        <v>300</v>
      </c>
      <c r="L22" s="9">
        <v>3</v>
      </c>
      <c r="M22" s="9">
        <v>0</v>
      </c>
      <c r="N22" s="9">
        <v>1</v>
      </c>
      <c r="O22" s="9">
        <v>5</v>
      </c>
      <c r="P22" s="9">
        <v>2</v>
      </c>
      <c r="Q22" s="9">
        <v>10</v>
      </c>
    </row>
    <row r="23" s="9" customFormat="1" customHeight="1" spans="3:17">
      <c r="C23" s="9">
        <v>230002</v>
      </c>
      <c r="D23" s="9">
        <v>1</v>
      </c>
      <c r="E23" s="9">
        <v>1</v>
      </c>
      <c r="F23" s="9" t="s">
        <v>50</v>
      </c>
      <c r="G23" s="9">
        <v>2</v>
      </c>
      <c r="H23" s="9">
        <v>2</v>
      </c>
      <c r="I23" s="16" t="s">
        <v>27</v>
      </c>
      <c r="J23" s="16" t="s">
        <v>25</v>
      </c>
      <c r="K23" s="9">
        <v>300</v>
      </c>
      <c r="L23" s="9">
        <v>3</v>
      </c>
      <c r="M23" s="9">
        <v>0</v>
      </c>
      <c r="N23" s="9">
        <v>2</v>
      </c>
      <c r="O23" s="9">
        <v>5</v>
      </c>
      <c r="P23" s="9">
        <v>2</v>
      </c>
      <c r="Q23" s="9">
        <v>10</v>
      </c>
    </row>
    <row r="24" s="9" customFormat="1" customHeight="1" spans="3:17">
      <c r="C24" s="9">
        <v>230003</v>
      </c>
      <c r="D24" s="9">
        <v>1</v>
      </c>
      <c r="E24" s="9">
        <v>1</v>
      </c>
      <c r="F24" s="9" t="s">
        <v>51</v>
      </c>
      <c r="G24" s="9">
        <v>3</v>
      </c>
      <c r="H24" s="9">
        <v>3</v>
      </c>
      <c r="I24" s="16" t="s">
        <v>49</v>
      </c>
      <c r="J24" s="16" t="s">
        <v>29</v>
      </c>
      <c r="K24" s="9">
        <v>100</v>
      </c>
      <c r="L24" s="9">
        <v>3</v>
      </c>
      <c r="M24" s="9">
        <v>0</v>
      </c>
      <c r="N24" s="9">
        <v>3</v>
      </c>
      <c r="O24" s="9">
        <v>5</v>
      </c>
      <c r="P24" s="9">
        <v>1</v>
      </c>
      <c r="Q24" s="9">
        <v>10</v>
      </c>
    </row>
    <row r="25" s="9" customFormat="1" customHeight="1" spans="3:17">
      <c r="C25" s="9">
        <v>230004</v>
      </c>
      <c r="D25" s="9">
        <v>1</v>
      </c>
      <c r="E25" s="9">
        <v>1</v>
      </c>
      <c r="F25" s="9" t="s">
        <v>52</v>
      </c>
      <c r="G25" s="9">
        <v>4</v>
      </c>
      <c r="H25" s="9">
        <v>4</v>
      </c>
      <c r="I25" s="16" t="s">
        <v>31</v>
      </c>
      <c r="J25" s="16" t="s">
        <v>32</v>
      </c>
      <c r="K25" s="9">
        <v>100</v>
      </c>
      <c r="L25" s="9">
        <v>3</v>
      </c>
      <c r="M25" s="9">
        <v>0</v>
      </c>
      <c r="N25" s="9">
        <v>3</v>
      </c>
      <c r="O25" s="9">
        <v>5</v>
      </c>
      <c r="P25" s="9">
        <v>1</v>
      </c>
      <c r="Q25" s="9">
        <v>10</v>
      </c>
    </row>
    <row r="26" s="9" customFormat="1" customHeight="1" spans="3:17">
      <c r="C26" s="9">
        <v>230005</v>
      </c>
      <c r="D26" s="9">
        <v>1</v>
      </c>
      <c r="E26" s="9">
        <v>1</v>
      </c>
      <c r="F26" s="9" t="s">
        <v>53</v>
      </c>
      <c r="G26" s="9">
        <v>5</v>
      </c>
      <c r="H26" s="16" t="s">
        <v>34</v>
      </c>
      <c r="I26" s="16" t="s">
        <v>31</v>
      </c>
      <c r="J26" s="16" t="s">
        <v>32</v>
      </c>
      <c r="K26" s="9">
        <v>100</v>
      </c>
      <c r="L26" s="9">
        <v>3</v>
      </c>
      <c r="M26" s="9">
        <v>0</v>
      </c>
      <c r="N26" s="9">
        <v>3</v>
      </c>
      <c r="O26" s="9">
        <v>5</v>
      </c>
      <c r="P26" s="9">
        <v>1</v>
      </c>
      <c r="Q26" s="9">
        <v>10</v>
      </c>
    </row>
    <row r="27" s="9" customFormat="1" customHeight="1" spans="3:17">
      <c r="C27" s="9">
        <v>230006</v>
      </c>
      <c r="D27" s="9">
        <v>1</v>
      </c>
      <c r="E27" s="9">
        <v>1</v>
      </c>
      <c r="F27" s="9" t="s">
        <v>54</v>
      </c>
      <c r="G27" s="9">
        <v>7</v>
      </c>
      <c r="H27" s="16" t="s">
        <v>36</v>
      </c>
      <c r="I27" s="16" t="s">
        <v>49</v>
      </c>
      <c r="J27" s="16" t="s">
        <v>29</v>
      </c>
      <c r="K27" s="9">
        <v>100</v>
      </c>
      <c r="L27" s="9">
        <v>3</v>
      </c>
      <c r="M27" s="9">
        <v>0</v>
      </c>
      <c r="N27" s="9">
        <v>3</v>
      </c>
      <c r="O27" s="9">
        <v>5</v>
      </c>
      <c r="P27" s="9">
        <v>1</v>
      </c>
      <c r="Q27" s="9">
        <v>10</v>
      </c>
    </row>
    <row r="28" s="9" customFormat="1" customHeight="1" spans="3:17">
      <c r="C28" s="9">
        <v>230007</v>
      </c>
      <c r="D28" s="9">
        <v>1</v>
      </c>
      <c r="E28" s="9">
        <v>1</v>
      </c>
      <c r="F28" s="9" t="s">
        <v>55</v>
      </c>
      <c r="G28" s="9">
        <v>9</v>
      </c>
      <c r="H28" s="9">
        <v>9</v>
      </c>
      <c r="I28" s="16" t="s">
        <v>27</v>
      </c>
      <c r="J28" s="16" t="s">
        <v>29</v>
      </c>
      <c r="K28" s="9">
        <v>100</v>
      </c>
      <c r="L28" s="9">
        <v>3</v>
      </c>
      <c r="M28" s="9">
        <v>0</v>
      </c>
      <c r="N28" s="9">
        <v>3</v>
      </c>
      <c r="O28" s="9">
        <v>5</v>
      </c>
      <c r="P28" s="9">
        <v>1</v>
      </c>
      <c r="Q28" s="9">
        <v>10</v>
      </c>
    </row>
    <row r="29" s="9" customFormat="1" customHeight="1" spans="3:17">
      <c r="C29" s="9">
        <v>230008</v>
      </c>
      <c r="D29" s="9">
        <v>1</v>
      </c>
      <c r="E29" s="9">
        <v>1</v>
      </c>
      <c r="F29" s="9" t="s">
        <v>56</v>
      </c>
      <c r="G29" s="9">
        <v>10</v>
      </c>
      <c r="H29" s="9">
        <v>10</v>
      </c>
      <c r="I29" s="16" t="s">
        <v>31</v>
      </c>
      <c r="J29" s="16" t="s">
        <v>32</v>
      </c>
      <c r="K29" s="9">
        <v>100</v>
      </c>
      <c r="L29" s="9">
        <v>3</v>
      </c>
      <c r="M29" s="9">
        <v>0</v>
      </c>
      <c r="N29" s="9">
        <v>3</v>
      </c>
      <c r="O29" s="9">
        <v>5</v>
      </c>
      <c r="P29" s="9">
        <v>1</v>
      </c>
      <c r="Q29" s="9">
        <v>10</v>
      </c>
    </row>
    <row r="31" s="9" customFormat="1" customHeight="1" spans="3:17">
      <c r="C31" s="9">
        <v>210011</v>
      </c>
      <c r="D31" s="9">
        <v>1</v>
      </c>
      <c r="E31" s="9">
        <v>6</v>
      </c>
      <c r="F31" s="9" t="s">
        <v>57</v>
      </c>
      <c r="G31" s="9">
        <v>1</v>
      </c>
      <c r="H31" s="9">
        <v>1</v>
      </c>
      <c r="I31" s="16" t="s">
        <v>24</v>
      </c>
      <c r="J31" s="16" t="s">
        <v>58</v>
      </c>
      <c r="K31" s="9">
        <v>600</v>
      </c>
      <c r="L31" s="9">
        <v>1</v>
      </c>
      <c r="M31" s="9">
        <v>0</v>
      </c>
      <c r="N31" s="9">
        <f>(E31-1)/5*3+1</f>
        <v>4</v>
      </c>
      <c r="O31" s="9">
        <v>5</v>
      </c>
      <c r="P31" s="9">
        <v>4</v>
      </c>
      <c r="Q31" s="9">
        <f t="shared" ref="Q31:Q54" si="0">(E31-1)/5*3+10</f>
        <v>13</v>
      </c>
    </row>
    <row r="32" s="9" customFormat="1" customHeight="1" spans="3:17">
      <c r="C32" s="9">
        <v>210012</v>
      </c>
      <c r="D32" s="9">
        <v>1</v>
      </c>
      <c r="E32" s="9">
        <v>6</v>
      </c>
      <c r="F32" s="9" t="s">
        <v>59</v>
      </c>
      <c r="G32" s="9">
        <v>2</v>
      </c>
      <c r="H32" s="9">
        <v>2</v>
      </c>
      <c r="I32" s="16" t="s">
        <v>27</v>
      </c>
      <c r="J32" s="16" t="s">
        <v>58</v>
      </c>
      <c r="K32" s="9">
        <v>600</v>
      </c>
      <c r="L32" s="9">
        <v>1</v>
      </c>
      <c r="M32" s="9">
        <v>0</v>
      </c>
      <c r="N32" s="9">
        <f>(E32-1)/5*3+2</f>
        <v>5</v>
      </c>
      <c r="O32" s="9">
        <v>5</v>
      </c>
      <c r="P32" s="9">
        <v>4</v>
      </c>
      <c r="Q32" s="9">
        <f t="shared" si="0"/>
        <v>13</v>
      </c>
    </row>
    <row r="33" s="9" customFormat="1" customHeight="1" spans="3:17">
      <c r="C33" s="9">
        <v>210013</v>
      </c>
      <c r="D33" s="9">
        <v>1</v>
      </c>
      <c r="E33" s="9">
        <v>6</v>
      </c>
      <c r="F33" s="9" t="s">
        <v>60</v>
      </c>
      <c r="G33" s="9">
        <v>3</v>
      </c>
      <c r="H33" s="9">
        <v>3</v>
      </c>
      <c r="I33" s="16" t="s">
        <v>24</v>
      </c>
      <c r="J33" s="16" t="s">
        <v>61</v>
      </c>
      <c r="K33" s="9">
        <v>200</v>
      </c>
      <c r="L33" s="9">
        <v>1</v>
      </c>
      <c r="M33" s="9">
        <v>0</v>
      </c>
      <c r="N33" s="9">
        <f t="shared" ref="N33:N38" si="1">(E33-1)/5*3+3</f>
        <v>6</v>
      </c>
      <c r="O33" s="9">
        <v>5</v>
      </c>
      <c r="P33" s="9">
        <v>2</v>
      </c>
      <c r="Q33" s="9">
        <f t="shared" si="0"/>
        <v>13</v>
      </c>
    </row>
    <row r="34" s="9" customFormat="1" customHeight="1" spans="3:17">
      <c r="C34" s="9">
        <v>210014</v>
      </c>
      <c r="D34" s="9">
        <v>1</v>
      </c>
      <c r="E34" s="9">
        <v>6</v>
      </c>
      <c r="F34" s="9" t="s">
        <v>62</v>
      </c>
      <c r="G34" s="9">
        <v>4</v>
      </c>
      <c r="H34" s="9">
        <v>4</v>
      </c>
      <c r="I34" s="16" t="s">
        <v>31</v>
      </c>
      <c r="J34" s="16" t="s">
        <v>63</v>
      </c>
      <c r="K34" s="9">
        <v>200</v>
      </c>
      <c r="L34" s="9">
        <v>1</v>
      </c>
      <c r="M34" s="9">
        <v>0</v>
      </c>
      <c r="N34" s="9">
        <f t="shared" si="1"/>
        <v>6</v>
      </c>
      <c r="O34" s="9">
        <v>5</v>
      </c>
      <c r="P34" s="9">
        <v>2</v>
      </c>
      <c r="Q34" s="9">
        <f t="shared" si="0"/>
        <v>13</v>
      </c>
    </row>
    <row r="35" s="9" customFormat="1" customHeight="1" spans="3:17">
      <c r="C35" s="9">
        <v>210015</v>
      </c>
      <c r="D35" s="9">
        <v>1</v>
      </c>
      <c r="E35" s="9">
        <v>6</v>
      </c>
      <c r="F35" s="9" t="s">
        <v>64</v>
      </c>
      <c r="G35" s="9">
        <v>5</v>
      </c>
      <c r="H35" s="16" t="s">
        <v>34</v>
      </c>
      <c r="I35" s="16" t="s">
        <v>31</v>
      </c>
      <c r="J35" s="16" t="s">
        <v>63</v>
      </c>
      <c r="K35" s="9">
        <v>200</v>
      </c>
      <c r="L35" s="9">
        <v>1</v>
      </c>
      <c r="M35" s="9">
        <v>0</v>
      </c>
      <c r="N35" s="9">
        <f t="shared" si="1"/>
        <v>6</v>
      </c>
      <c r="O35" s="9">
        <v>5</v>
      </c>
      <c r="P35" s="9">
        <v>2</v>
      </c>
      <c r="Q35" s="9">
        <f t="shared" si="0"/>
        <v>13</v>
      </c>
    </row>
    <row r="36" s="9" customFormat="1" customHeight="1" spans="3:17">
      <c r="C36" s="9">
        <v>210016</v>
      </c>
      <c r="D36" s="9">
        <v>1</v>
      </c>
      <c r="E36" s="9">
        <v>6</v>
      </c>
      <c r="F36" s="9" t="s">
        <v>65</v>
      </c>
      <c r="G36" s="9">
        <v>7</v>
      </c>
      <c r="H36" s="16" t="s">
        <v>36</v>
      </c>
      <c r="I36" s="16" t="s">
        <v>24</v>
      </c>
      <c r="J36" s="16" t="s">
        <v>61</v>
      </c>
      <c r="K36" s="9">
        <v>200</v>
      </c>
      <c r="L36" s="9">
        <v>1</v>
      </c>
      <c r="M36" s="9">
        <v>0</v>
      </c>
      <c r="N36" s="9">
        <f t="shared" si="1"/>
        <v>6</v>
      </c>
      <c r="O36" s="9">
        <v>5</v>
      </c>
      <c r="P36" s="9">
        <v>2</v>
      </c>
      <c r="Q36" s="9">
        <f t="shared" si="0"/>
        <v>13</v>
      </c>
    </row>
    <row r="37" customHeight="1" spans="3:17">
      <c r="C37" s="9">
        <v>210017</v>
      </c>
      <c r="D37" s="9">
        <v>1</v>
      </c>
      <c r="E37" s="9">
        <v>6</v>
      </c>
      <c r="F37" s="9" t="s">
        <v>66</v>
      </c>
      <c r="G37" s="9">
        <v>9</v>
      </c>
      <c r="H37" s="9">
        <v>9</v>
      </c>
      <c r="I37" s="16" t="s">
        <v>27</v>
      </c>
      <c r="J37" s="16" t="s">
        <v>61</v>
      </c>
      <c r="K37" s="9">
        <v>200</v>
      </c>
      <c r="L37" s="9">
        <v>1</v>
      </c>
      <c r="M37" s="9">
        <v>0</v>
      </c>
      <c r="N37" s="9">
        <f t="shared" si="1"/>
        <v>6</v>
      </c>
      <c r="O37" s="9">
        <v>5</v>
      </c>
      <c r="P37" s="9">
        <v>2</v>
      </c>
      <c r="Q37" s="9">
        <f t="shared" si="0"/>
        <v>13</v>
      </c>
    </row>
    <row r="38" s="12" customFormat="1" customHeight="1" spans="3:17">
      <c r="C38" s="9">
        <v>210018</v>
      </c>
      <c r="D38" s="9">
        <v>1</v>
      </c>
      <c r="E38" s="9">
        <v>6</v>
      </c>
      <c r="F38" s="9" t="s">
        <v>67</v>
      </c>
      <c r="G38" s="9">
        <v>10</v>
      </c>
      <c r="H38" s="9">
        <v>10</v>
      </c>
      <c r="I38" s="16" t="s">
        <v>31</v>
      </c>
      <c r="J38" s="16" t="s">
        <v>63</v>
      </c>
      <c r="K38" s="9">
        <v>200</v>
      </c>
      <c r="L38" s="9">
        <v>1</v>
      </c>
      <c r="M38" s="9">
        <v>0</v>
      </c>
      <c r="N38" s="9">
        <f t="shared" si="1"/>
        <v>6</v>
      </c>
      <c r="O38" s="9">
        <v>5</v>
      </c>
      <c r="P38" s="9">
        <v>2</v>
      </c>
      <c r="Q38" s="9">
        <f t="shared" si="0"/>
        <v>13</v>
      </c>
    </row>
    <row r="39" s="12" customFormat="1" customHeight="1" spans="3:17">
      <c r="C39" s="9">
        <v>220011</v>
      </c>
      <c r="D39" s="9">
        <v>1</v>
      </c>
      <c r="E39" s="9">
        <v>6</v>
      </c>
      <c r="F39" s="9" t="s">
        <v>68</v>
      </c>
      <c r="G39" s="9">
        <v>1</v>
      </c>
      <c r="H39" s="9">
        <v>1</v>
      </c>
      <c r="I39" s="16" t="s">
        <v>40</v>
      </c>
      <c r="J39" s="16" t="s">
        <v>58</v>
      </c>
      <c r="K39" s="9">
        <v>600</v>
      </c>
      <c r="L39" s="9">
        <v>2</v>
      </c>
      <c r="M39" s="9">
        <v>0</v>
      </c>
      <c r="N39" s="9">
        <f>(E39-1)/5*3+1</f>
        <v>4</v>
      </c>
      <c r="O39" s="9">
        <v>5</v>
      </c>
      <c r="P39" s="9">
        <v>4</v>
      </c>
      <c r="Q39" s="9">
        <f t="shared" si="0"/>
        <v>13</v>
      </c>
    </row>
    <row r="40" s="12" customFormat="1" customHeight="1" spans="3:17">
      <c r="C40" s="9">
        <v>220012</v>
      </c>
      <c r="D40" s="9">
        <v>1</v>
      </c>
      <c r="E40" s="9">
        <v>6</v>
      </c>
      <c r="F40" s="9" t="s">
        <v>69</v>
      </c>
      <c r="G40" s="9">
        <v>2</v>
      </c>
      <c r="H40" s="9">
        <v>2</v>
      </c>
      <c r="I40" s="16" t="s">
        <v>27</v>
      </c>
      <c r="J40" s="16" t="s">
        <v>58</v>
      </c>
      <c r="K40" s="9">
        <v>600</v>
      </c>
      <c r="L40" s="9">
        <v>2</v>
      </c>
      <c r="M40" s="9">
        <v>0</v>
      </c>
      <c r="N40" s="9">
        <f>(E40-1)/5*3+2</f>
        <v>5</v>
      </c>
      <c r="O40" s="9">
        <v>5</v>
      </c>
      <c r="P40" s="9">
        <v>4</v>
      </c>
      <c r="Q40" s="9">
        <f t="shared" si="0"/>
        <v>13</v>
      </c>
    </row>
    <row r="41" s="12" customFormat="1" customHeight="1" spans="3:17">
      <c r="C41" s="9">
        <v>220013</v>
      </c>
      <c r="D41" s="9">
        <v>1</v>
      </c>
      <c r="E41" s="9">
        <v>6</v>
      </c>
      <c r="F41" s="9" t="s">
        <v>70</v>
      </c>
      <c r="G41" s="9">
        <v>3</v>
      </c>
      <c r="H41" s="9">
        <v>3</v>
      </c>
      <c r="I41" s="16" t="s">
        <v>40</v>
      </c>
      <c r="J41" s="16" t="s">
        <v>61</v>
      </c>
      <c r="K41" s="9">
        <v>200</v>
      </c>
      <c r="L41" s="9">
        <v>2</v>
      </c>
      <c r="M41" s="9">
        <v>0</v>
      </c>
      <c r="N41" s="9">
        <f t="shared" ref="N41:N46" si="2">(E41-1)/5*3+3</f>
        <v>6</v>
      </c>
      <c r="O41" s="9">
        <v>5</v>
      </c>
      <c r="P41" s="9">
        <v>2</v>
      </c>
      <c r="Q41" s="9">
        <f t="shared" si="0"/>
        <v>13</v>
      </c>
    </row>
    <row r="42" s="12" customFormat="1" customHeight="1" spans="3:17">
      <c r="C42" s="9">
        <v>220014</v>
      </c>
      <c r="D42" s="9">
        <v>1</v>
      </c>
      <c r="E42" s="9">
        <v>6</v>
      </c>
      <c r="F42" s="9" t="s">
        <v>71</v>
      </c>
      <c r="G42" s="9">
        <v>4</v>
      </c>
      <c r="H42" s="9">
        <v>4</v>
      </c>
      <c r="I42" s="16" t="s">
        <v>31</v>
      </c>
      <c r="J42" s="16" t="s">
        <v>63</v>
      </c>
      <c r="K42" s="9">
        <v>200</v>
      </c>
      <c r="L42" s="9">
        <v>2</v>
      </c>
      <c r="M42" s="9">
        <v>0</v>
      </c>
      <c r="N42" s="9">
        <f t="shared" si="2"/>
        <v>6</v>
      </c>
      <c r="O42" s="9">
        <v>5</v>
      </c>
      <c r="P42" s="9">
        <v>2</v>
      </c>
      <c r="Q42" s="9">
        <f t="shared" si="0"/>
        <v>13</v>
      </c>
    </row>
    <row r="43" s="12" customFormat="1" customHeight="1" spans="3:17">
      <c r="C43" s="9">
        <v>220015</v>
      </c>
      <c r="D43" s="9">
        <v>1</v>
      </c>
      <c r="E43" s="9">
        <v>6</v>
      </c>
      <c r="F43" s="9" t="s">
        <v>72</v>
      </c>
      <c r="G43" s="9">
        <v>5</v>
      </c>
      <c r="H43" s="16" t="s">
        <v>34</v>
      </c>
      <c r="I43" s="16" t="s">
        <v>31</v>
      </c>
      <c r="J43" s="16" t="s">
        <v>63</v>
      </c>
      <c r="K43" s="9">
        <v>200</v>
      </c>
      <c r="L43" s="9">
        <v>2</v>
      </c>
      <c r="M43" s="9">
        <v>0</v>
      </c>
      <c r="N43" s="9">
        <f t="shared" si="2"/>
        <v>6</v>
      </c>
      <c r="O43" s="9">
        <v>5</v>
      </c>
      <c r="P43" s="9">
        <v>2</v>
      </c>
      <c r="Q43" s="9">
        <f t="shared" si="0"/>
        <v>13</v>
      </c>
    </row>
    <row r="44" s="12" customFormat="1" customHeight="1" spans="3:17">
      <c r="C44" s="9">
        <v>220016</v>
      </c>
      <c r="D44" s="9">
        <v>1</v>
      </c>
      <c r="E44" s="9">
        <v>6</v>
      </c>
      <c r="F44" s="9" t="s">
        <v>73</v>
      </c>
      <c r="G44" s="9">
        <v>7</v>
      </c>
      <c r="H44" s="16" t="s">
        <v>36</v>
      </c>
      <c r="I44" s="16" t="s">
        <v>40</v>
      </c>
      <c r="J44" s="16" t="s">
        <v>61</v>
      </c>
      <c r="K44" s="9">
        <v>200</v>
      </c>
      <c r="L44" s="9">
        <v>2</v>
      </c>
      <c r="M44" s="9">
        <v>0</v>
      </c>
      <c r="N44" s="9">
        <f t="shared" si="2"/>
        <v>6</v>
      </c>
      <c r="O44" s="9">
        <v>5</v>
      </c>
      <c r="P44" s="9">
        <v>2</v>
      </c>
      <c r="Q44" s="9">
        <f t="shared" si="0"/>
        <v>13</v>
      </c>
    </row>
    <row r="45" s="12" customFormat="1" customHeight="1" spans="3:17">
      <c r="C45" s="9">
        <v>220017</v>
      </c>
      <c r="D45" s="9">
        <v>1</v>
      </c>
      <c r="E45" s="9">
        <v>6</v>
      </c>
      <c r="F45" s="9" t="s">
        <v>74</v>
      </c>
      <c r="G45" s="9">
        <v>9</v>
      </c>
      <c r="H45" s="9">
        <v>9</v>
      </c>
      <c r="I45" s="16" t="s">
        <v>27</v>
      </c>
      <c r="J45" s="16" t="s">
        <v>61</v>
      </c>
      <c r="K45" s="9">
        <v>200</v>
      </c>
      <c r="L45" s="9">
        <v>2</v>
      </c>
      <c r="M45" s="9">
        <v>0</v>
      </c>
      <c r="N45" s="9">
        <f t="shared" si="2"/>
        <v>6</v>
      </c>
      <c r="O45" s="9">
        <v>5</v>
      </c>
      <c r="P45" s="9">
        <v>2</v>
      </c>
      <c r="Q45" s="9">
        <f t="shared" si="0"/>
        <v>13</v>
      </c>
    </row>
    <row r="46" s="12" customFormat="1" customHeight="1" spans="3:17">
      <c r="C46" s="9">
        <v>220018</v>
      </c>
      <c r="D46" s="9">
        <v>1</v>
      </c>
      <c r="E46" s="9">
        <v>6</v>
      </c>
      <c r="F46" s="9" t="s">
        <v>75</v>
      </c>
      <c r="G46" s="9">
        <v>10</v>
      </c>
      <c r="H46" s="9">
        <v>10</v>
      </c>
      <c r="I46" s="16" t="s">
        <v>31</v>
      </c>
      <c r="J46" s="16" t="s">
        <v>63</v>
      </c>
      <c r="K46" s="9">
        <v>200</v>
      </c>
      <c r="L46" s="9">
        <v>2</v>
      </c>
      <c r="M46" s="9">
        <v>0</v>
      </c>
      <c r="N46" s="9">
        <f t="shared" si="2"/>
        <v>6</v>
      </c>
      <c r="O46" s="9">
        <v>5</v>
      </c>
      <c r="P46" s="9">
        <v>2</v>
      </c>
      <c r="Q46" s="9">
        <f t="shared" si="0"/>
        <v>13</v>
      </c>
    </row>
    <row r="47" s="12" customFormat="1" customHeight="1" spans="3:17">
      <c r="C47" s="9">
        <v>230011</v>
      </c>
      <c r="D47" s="9">
        <v>1</v>
      </c>
      <c r="E47" s="9">
        <v>6</v>
      </c>
      <c r="F47" s="9" t="s">
        <v>76</v>
      </c>
      <c r="G47" s="9">
        <v>1</v>
      </c>
      <c r="H47" s="9">
        <v>1</v>
      </c>
      <c r="I47" s="16" t="s">
        <v>49</v>
      </c>
      <c r="J47" s="16" t="s">
        <v>58</v>
      </c>
      <c r="K47" s="9">
        <v>600</v>
      </c>
      <c r="L47" s="9">
        <v>3</v>
      </c>
      <c r="M47" s="9">
        <v>0</v>
      </c>
      <c r="N47" s="9">
        <f>(E47-1)/5*3+1</f>
        <v>4</v>
      </c>
      <c r="O47" s="9">
        <v>5</v>
      </c>
      <c r="P47" s="9">
        <v>4</v>
      </c>
      <c r="Q47" s="9">
        <f t="shared" si="0"/>
        <v>13</v>
      </c>
    </row>
    <row r="48" s="12" customFormat="1" customHeight="1" spans="3:17">
      <c r="C48" s="9">
        <v>230012</v>
      </c>
      <c r="D48" s="9">
        <v>1</v>
      </c>
      <c r="E48" s="9">
        <v>6</v>
      </c>
      <c r="F48" s="9" t="s">
        <v>77</v>
      </c>
      <c r="G48" s="9">
        <v>2</v>
      </c>
      <c r="H48" s="9">
        <v>2</v>
      </c>
      <c r="I48" s="16" t="s">
        <v>27</v>
      </c>
      <c r="J48" s="16" t="s">
        <v>58</v>
      </c>
      <c r="K48" s="9">
        <v>600</v>
      </c>
      <c r="L48" s="9">
        <v>3</v>
      </c>
      <c r="M48" s="9">
        <v>0</v>
      </c>
      <c r="N48" s="9">
        <f>(E48-1)/5*3+2</f>
        <v>5</v>
      </c>
      <c r="O48" s="9">
        <v>5</v>
      </c>
      <c r="P48" s="9">
        <v>4</v>
      </c>
      <c r="Q48" s="9">
        <f t="shared" si="0"/>
        <v>13</v>
      </c>
    </row>
    <row r="49" s="12" customFormat="1" customHeight="1" spans="3:17">
      <c r="C49" s="9">
        <v>230013</v>
      </c>
      <c r="D49" s="9">
        <v>1</v>
      </c>
      <c r="E49" s="9">
        <v>6</v>
      </c>
      <c r="F49" s="9" t="s">
        <v>78</v>
      </c>
      <c r="G49" s="9">
        <v>3</v>
      </c>
      <c r="H49" s="9">
        <v>3</v>
      </c>
      <c r="I49" s="16" t="s">
        <v>49</v>
      </c>
      <c r="J49" s="16" t="s">
        <v>61</v>
      </c>
      <c r="K49" s="9">
        <v>200</v>
      </c>
      <c r="L49" s="9">
        <v>3</v>
      </c>
      <c r="M49" s="9">
        <v>0</v>
      </c>
      <c r="N49" s="9">
        <f t="shared" ref="N49:N54" si="3">(E49-1)/5*3+3</f>
        <v>6</v>
      </c>
      <c r="O49" s="9">
        <v>5</v>
      </c>
      <c r="P49" s="9">
        <v>2</v>
      </c>
      <c r="Q49" s="9">
        <f t="shared" si="0"/>
        <v>13</v>
      </c>
    </row>
    <row r="50" s="12" customFormat="1" customHeight="1" spans="3:17">
      <c r="C50" s="9">
        <v>230014</v>
      </c>
      <c r="D50" s="9">
        <v>1</v>
      </c>
      <c r="E50" s="9">
        <v>6</v>
      </c>
      <c r="F50" s="9" t="s">
        <v>79</v>
      </c>
      <c r="G50" s="9">
        <v>4</v>
      </c>
      <c r="H50" s="9">
        <v>4</v>
      </c>
      <c r="I50" s="16" t="s">
        <v>31</v>
      </c>
      <c r="J50" s="16" t="s">
        <v>63</v>
      </c>
      <c r="K50" s="9">
        <v>200</v>
      </c>
      <c r="L50" s="9">
        <v>3</v>
      </c>
      <c r="M50" s="9">
        <v>0</v>
      </c>
      <c r="N50" s="9">
        <f t="shared" si="3"/>
        <v>6</v>
      </c>
      <c r="O50" s="9">
        <v>5</v>
      </c>
      <c r="P50" s="9">
        <v>2</v>
      </c>
      <c r="Q50" s="9">
        <f t="shared" si="0"/>
        <v>13</v>
      </c>
    </row>
    <row r="51" s="12" customFormat="1" customHeight="1" spans="3:17">
      <c r="C51" s="9">
        <v>230015</v>
      </c>
      <c r="D51" s="9">
        <v>1</v>
      </c>
      <c r="E51" s="9">
        <v>6</v>
      </c>
      <c r="F51" s="9" t="s">
        <v>80</v>
      </c>
      <c r="G51" s="9">
        <v>5</v>
      </c>
      <c r="H51" s="16" t="s">
        <v>34</v>
      </c>
      <c r="I51" s="16" t="s">
        <v>31</v>
      </c>
      <c r="J51" s="16" t="s">
        <v>63</v>
      </c>
      <c r="K51" s="9">
        <v>200</v>
      </c>
      <c r="L51" s="9">
        <v>3</v>
      </c>
      <c r="M51" s="9">
        <v>0</v>
      </c>
      <c r="N51" s="9">
        <f t="shared" si="3"/>
        <v>6</v>
      </c>
      <c r="O51" s="9">
        <v>5</v>
      </c>
      <c r="P51" s="9">
        <v>2</v>
      </c>
      <c r="Q51" s="9">
        <f t="shared" si="0"/>
        <v>13</v>
      </c>
    </row>
    <row r="52" s="12" customFormat="1" customHeight="1" spans="3:17">
      <c r="C52" s="9">
        <v>230016</v>
      </c>
      <c r="D52" s="9">
        <v>1</v>
      </c>
      <c r="E52" s="9">
        <v>6</v>
      </c>
      <c r="F52" s="9" t="s">
        <v>81</v>
      </c>
      <c r="G52" s="9">
        <v>7</v>
      </c>
      <c r="H52" s="16" t="s">
        <v>36</v>
      </c>
      <c r="I52" s="16" t="s">
        <v>49</v>
      </c>
      <c r="J52" s="16" t="s">
        <v>61</v>
      </c>
      <c r="K52" s="9">
        <v>200</v>
      </c>
      <c r="L52" s="9">
        <v>3</v>
      </c>
      <c r="M52" s="9">
        <v>0</v>
      </c>
      <c r="N52" s="9">
        <f t="shared" si="3"/>
        <v>6</v>
      </c>
      <c r="O52" s="9">
        <v>5</v>
      </c>
      <c r="P52" s="9">
        <v>2</v>
      </c>
      <c r="Q52" s="9">
        <f t="shared" si="0"/>
        <v>13</v>
      </c>
    </row>
    <row r="53" s="12" customFormat="1" customHeight="1" spans="3:17">
      <c r="C53" s="9">
        <v>230017</v>
      </c>
      <c r="D53" s="9">
        <v>1</v>
      </c>
      <c r="E53" s="9">
        <v>6</v>
      </c>
      <c r="F53" s="9" t="s">
        <v>82</v>
      </c>
      <c r="G53" s="9">
        <v>9</v>
      </c>
      <c r="H53" s="9">
        <v>9</v>
      </c>
      <c r="I53" s="16" t="s">
        <v>27</v>
      </c>
      <c r="J53" s="16" t="s">
        <v>61</v>
      </c>
      <c r="K53" s="9">
        <v>200</v>
      </c>
      <c r="L53" s="9">
        <v>3</v>
      </c>
      <c r="M53" s="9">
        <v>0</v>
      </c>
      <c r="N53" s="9">
        <f t="shared" si="3"/>
        <v>6</v>
      </c>
      <c r="O53" s="9">
        <v>5</v>
      </c>
      <c r="P53" s="9">
        <v>2</v>
      </c>
      <c r="Q53" s="9">
        <f t="shared" si="0"/>
        <v>13</v>
      </c>
    </row>
    <row r="54" s="12" customFormat="1" customHeight="1" spans="3:17">
      <c r="C54" s="9">
        <v>230018</v>
      </c>
      <c r="D54" s="9">
        <v>1</v>
      </c>
      <c r="E54" s="9">
        <v>6</v>
      </c>
      <c r="F54" s="9" t="s">
        <v>83</v>
      </c>
      <c r="G54" s="9">
        <v>10</v>
      </c>
      <c r="H54" s="9">
        <v>10</v>
      </c>
      <c r="I54" s="16" t="s">
        <v>31</v>
      </c>
      <c r="J54" s="16" t="s">
        <v>63</v>
      </c>
      <c r="K54" s="9">
        <v>200</v>
      </c>
      <c r="L54" s="9">
        <v>3</v>
      </c>
      <c r="M54" s="9">
        <v>0</v>
      </c>
      <c r="N54" s="9">
        <f t="shared" si="3"/>
        <v>6</v>
      </c>
      <c r="O54" s="9">
        <v>5</v>
      </c>
      <c r="P54" s="9">
        <v>2</v>
      </c>
      <c r="Q54" s="9">
        <f t="shared" si="0"/>
        <v>13</v>
      </c>
    </row>
    <row r="55" s="12" customFormat="1" customHeight="1" spans="3:17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="12" customFormat="1" customHeight="1" spans="3:17">
      <c r="C56" s="9">
        <v>210021</v>
      </c>
      <c r="D56" s="9">
        <v>1</v>
      </c>
      <c r="E56" s="9">
        <v>11</v>
      </c>
      <c r="F56" s="9" t="s">
        <v>84</v>
      </c>
      <c r="G56" s="9">
        <v>1</v>
      </c>
      <c r="H56" s="9">
        <v>1</v>
      </c>
      <c r="I56" s="16" t="s">
        <v>24</v>
      </c>
      <c r="J56" s="16" t="s">
        <v>85</v>
      </c>
      <c r="K56" s="9">
        <v>900</v>
      </c>
      <c r="L56" s="9">
        <v>1</v>
      </c>
      <c r="M56" s="9">
        <v>0</v>
      </c>
      <c r="N56" s="9">
        <f>(E56-1)/5*3+1</f>
        <v>7</v>
      </c>
      <c r="O56" s="9">
        <v>5</v>
      </c>
      <c r="P56" s="9">
        <v>6</v>
      </c>
      <c r="Q56" s="9">
        <f t="shared" ref="Q56:Q79" si="4">(E56-1)/5*3+10</f>
        <v>16</v>
      </c>
    </row>
    <row r="57" s="12" customFormat="1" customHeight="1" spans="3:17">
      <c r="C57" s="9">
        <v>210022</v>
      </c>
      <c r="D57" s="9">
        <v>1</v>
      </c>
      <c r="E57" s="9">
        <v>11</v>
      </c>
      <c r="F57" s="9" t="s">
        <v>86</v>
      </c>
      <c r="G57" s="9">
        <v>2</v>
      </c>
      <c r="H57" s="9">
        <v>2</v>
      </c>
      <c r="I57" s="16" t="s">
        <v>27</v>
      </c>
      <c r="J57" s="16" t="s">
        <v>85</v>
      </c>
      <c r="K57" s="9">
        <v>900</v>
      </c>
      <c r="L57" s="9">
        <v>1</v>
      </c>
      <c r="M57" s="9">
        <v>0</v>
      </c>
      <c r="N57" s="9">
        <f>(E57-1)/5*3+2</f>
        <v>8</v>
      </c>
      <c r="O57" s="9">
        <v>5</v>
      </c>
      <c r="P57" s="9">
        <v>6</v>
      </c>
      <c r="Q57" s="9">
        <f t="shared" si="4"/>
        <v>16</v>
      </c>
    </row>
    <row r="58" s="12" customFormat="1" customHeight="1" spans="3:17">
      <c r="C58" s="9">
        <v>210023</v>
      </c>
      <c r="D58" s="9">
        <v>1</v>
      </c>
      <c r="E58" s="9">
        <v>11</v>
      </c>
      <c r="F58" s="9" t="s">
        <v>87</v>
      </c>
      <c r="G58" s="9">
        <v>3</v>
      </c>
      <c r="H58" s="9">
        <v>3</v>
      </c>
      <c r="I58" s="16" t="s">
        <v>24</v>
      </c>
      <c r="J58" s="16" t="s">
        <v>88</v>
      </c>
      <c r="K58" s="9">
        <v>300</v>
      </c>
      <c r="L58" s="9">
        <v>1</v>
      </c>
      <c r="M58" s="9">
        <v>0</v>
      </c>
      <c r="N58" s="9">
        <f t="shared" ref="N58:N63" si="5">(E58-1)/5*3+3</f>
        <v>9</v>
      </c>
      <c r="O58" s="9">
        <v>5</v>
      </c>
      <c r="P58" s="9">
        <v>3</v>
      </c>
      <c r="Q58" s="9">
        <f t="shared" si="4"/>
        <v>16</v>
      </c>
    </row>
    <row r="59" s="12" customFormat="1" customHeight="1" spans="3:17">
      <c r="C59" s="9">
        <v>210024</v>
      </c>
      <c r="D59" s="9">
        <v>1</v>
      </c>
      <c r="E59" s="9">
        <v>11</v>
      </c>
      <c r="F59" s="9" t="s">
        <v>89</v>
      </c>
      <c r="G59" s="9">
        <v>4</v>
      </c>
      <c r="H59" s="9">
        <v>4</v>
      </c>
      <c r="I59" s="16" t="s">
        <v>31</v>
      </c>
      <c r="J59" s="16" t="s">
        <v>90</v>
      </c>
      <c r="K59" s="9">
        <v>300</v>
      </c>
      <c r="L59" s="9">
        <v>1</v>
      </c>
      <c r="M59" s="9">
        <v>0</v>
      </c>
      <c r="N59" s="9">
        <f t="shared" si="5"/>
        <v>9</v>
      </c>
      <c r="O59" s="9">
        <v>5</v>
      </c>
      <c r="P59" s="9">
        <v>3</v>
      </c>
      <c r="Q59" s="9">
        <f t="shared" si="4"/>
        <v>16</v>
      </c>
    </row>
    <row r="60" s="12" customFormat="1" customHeight="1" spans="3:17">
      <c r="C60" s="9">
        <v>210025</v>
      </c>
      <c r="D60" s="9">
        <v>1</v>
      </c>
      <c r="E60" s="9">
        <v>11</v>
      </c>
      <c r="F60" s="9" t="s">
        <v>91</v>
      </c>
      <c r="G60" s="9">
        <v>5</v>
      </c>
      <c r="H60" s="16" t="s">
        <v>34</v>
      </c>
      <c r="I60" s="16" t="s">
        <v>31</v>
      </c>
      <c r="J60" s="16" t="s">
        <v>90</v>
      </c>
      <c r="K60" s="9">
        <v>300</v>
      </c>
      <c r="L60" s="9">
        <v>1</v>
      </c>
      <c r="M60" s="9">
        <v>0</v>
      </c>
      <c r="N60" s="9">
        <f t="shared" si="5"/>
        <v>9</v>
      </c>
      <c r="O60" s="9">
        <v>5</v>
      </c>
      <c r="P60" s="9">
        <v>3</v>
      </c>
      <c r="Q60" s="9">
        <f t="shared" si="4"/>
        <v>16</v>
      </c>
    </row>
    <row r="61" s="12" customFormat="1" customHeight="1" spans="3:17">
      <c r="C61" s="9">
        <v>210026</v>
      </c>
      <c r="D61" s="9">
        <v>1</v>
      </c>
      <c r="E61" s="9">
        <v>11</v>
      </c>
      <c r="F61" s="9" t="s">
        <v>92</v>
      </c>
      <c r="G61" s="9">
        <v>7</v>
      </c>
      <c r="H61" s="16" t="s">
        <v>36</v>
      </c>
      <c r="I61" s="16" t="s">
        <v>24</v>
      </c>
      <c r="J61" s="16" t="s">
        <v>88</v>
      </c>
      <c r="K61" s="9">
        <v>300</v>
      </c>
      <c r="L61" s="9">
        <v>1</v>
      </c>
      <c r="M61" s="9">
        <v>0</v>
      </c>
      <c r="N61" s="9">
        <f t="shared" si="5"/>
        <v>9</v>
      </c>
      <c r="O61" s="9">
        <v>5</v>
      </c>
      <c r="P61" s="9">
        <v>3</v>
      </c>
      <c r="Q61" s="9">
        <f t="shared" si="4"/>
        <v>16</v>
      </c>
    </row>
    <row r="62" s="12" customFormat="1" customHeight="1" spans="3:17">
      <c r="C62" s="9">
        <v>210027</v>
      </c>
      <c r="D62" s="9">
        <v>1</v>
      </c>
      <c r="E62" s="9">
        <v>11</v>
      </c>
      <c r="F62" s="9" t="s">
        <v>93</v>
      </c>
      <c r="G62" s="9">
        <v>9</v>
      </c>
      <c r="H62" s="9">
        <v>9</v>
      </c>
      <c r="I62" s="16" t="s">
        <v>27</v>
      </c>
      <c r="J62" s="16" t="s">
        <v>88</v>
      </c>
      <c r="K62" s="9">
        <v>300</v>
      </c>
      <c r="L62" s="9">
        <v>1</v>
      </c>
      <c r="M62" s="9">
        <v>0</v>
      </c>
      <c r="N62" s="9">
        <f t="shared" si="5"/>
        <v>9</v>
      </c>
      <c r="O62" s="9">
        <v>5</v>
      </c>
      <c r="P62" s="9">
        <v>3</v>
      </c>
      <c r="Q62" s="9">
        <f t="shared" si="4"/>
        <v>16</v>
      </c>
    </row>
    <row r="63" s="12" customFormat="1" customHeight="1" spans="3:17">
      <c r="C63" s="9">
        <v>210028</v>
      </c>
      <c r="D63" s="9">
        <v>1</v>
      </c>
      <c r="E63" s="9">
        <v>11</v>
      </c>
      <c r="F63" s="9" t="s">
        <v>94</v>
      </c>
      <c r="G63" s="9">
        <v>10</v>
      </c>
      <c r="H63" s="9">
        <v>10</v>
      </c>
      <c r="I63" s="16" t="s">
        <v>31</v>
      </c>
      <c r="J63" s="16" t="s">
        <v>90</v>
      </c>
      <c r="K63" s="9">
        <v>300</v>
      </c>
      <c r="L63" s="9">
        <v>1</v>
      </c>
      <c r="M63" s="9">
        <v>0</v>
      </c>
      <c r="N63" s="9">
        <f t="shared" si="5"/>
        <v>9</v>
      </c>
      <c r="O63" s="9">
        <v>5</v>
      </c>
      <c r="P63" s="9">
        <v>3</v>
      </c>
      <c r="Q63" s="9">
        <f t="shared" si="4"/>
        <v>16</v>
      </c>
    </row>
    <row r="64" s="12" customFormat="1" customHeight="1" spans="3:17">
      <c r="C64" s="9">
        <v>220021</v>
      </c>
      <c r="D64" s="9">
        <v>1</v>
      </c>
      <c r="E64" s="9">
        <v>11</v>
      </c>
      <c r="F64" s="9" t="s">
        <v>95</v>
      </c>
      <c r="G64" s="9">
        <v>1</v>
      </c>
      <c r="H64" s="9">
        <v>1</v>
      </c>
      <c r="I64" s="16" t="s">
        <v>40</v>
      </c>
      <c r="J64" s="16" t="s">
        <v>85</v>
      </c>
      <c r="K64" s="9">
        <v>900</v>
      </c>
      <c r="L64" s="9">
        <v>2</v>
      </c>
      <c r="M64" s="9">
        <v>0</v>
      </c>
      <c r="N64" s="9">
        <f>(E64-1)/5*3+1</f>
        <v>7</v>
      </c>
      <c r="O64" s="9">
        <v>5</v>
      </c>
      <c r="P64" s="9">
        <v>6</v>
      </c>
      <c r="Q64" s="9">
        <f t="shared" si="4"/>
        <v>16</v>
      </c>
    </row>
    <row r="65" s="12" customFormat="1" customHeight="1" spans="3:17">
      <c r="C65" s="9">
        <v>220022</v>
      </c>
      <c r="D65" s="9">
        <v>1</v>
      </c>
      <c r="E65" s="9">
        <v>11</v>
      </c>
      <c r="F65" s="9" t="s">
        <v>96</v>
      </c>
      <c r="G65" s="9">
        <v>2</v>
      </c>
      <c r="H65" s="9">
        <v>2</v>
      </c>
      <c r="I65" s="16" t="s">
        <v>27</v>
      </c>
      <c r="J65" s="16" t="s">
        <v>85</v>
      </c>
      <c r="K65" s="9">
        <v>900</v>
      </c>
      <c r="L65" s="9">
        <v>2</v>
      </c>
      <c r="M65" s="9">
        <v>0</v>
      </c>
      <c r="N65" s="9">
        <f>(E65-1)/5*3+2</f>
        <v>8</v>
      </c>
      <c r="O65" s="9">
        <v>5</v>
      </c>
      <c r="P65" s="9">
        <v>6</v>
      </c>
      <c r="Q65" s="9">
        <f t="shared" si="4"/>
        <v>16</v>
      </c>
    </row>
    <row r="66" s="12" customFormat="1" customHeight="1" spans="3:17">
      <c r="C66" s="9">
        <v>220023</v>
      </c>
      <c r="D66" s="9">
        <v>1</v>
      </c>
      <c r="E66" s="9">
        <v>11</v>
      </c>
      <c r="F66" s="9" t="s">
        <v>97</v>
      </c>
      <c r="G66" s="9">
        <v>3</v>
      </c>
      <c r="H66" s="9">
        <v>3</v>
      </c>
      <c r="I66" s="16" t="s">
        <v>40</v>
      </c>
      <c r="J66" s="16" t="s">
        <v>88</v>
      </c>
      <c r="K66" s="9">
        <v>300</v>
      </c>
      <c r="L66" s="9">
        <v>2</v>
      </c>
      <c r="M66" s="9">
        <v>0</v>
      </c>
      <c r="N66" s="9">
        <f t="shared" ref="N66:N71" si="6">(E66-1)/5*3+3</f>
        <v>9</v>
      </c>
      <c r="O66" s="9">
        <v>5</v>
      </c>
      <c r="P66" s="9">
        <v>3</v>
      </c>
      <c r="Q66" s="9">
        <f t="shared" si="4"/>
        <v>16</v>
      </c>
    </row>
    <row r="67" s="12" customFormat="1" customHeight="1" spans="3:17">
      <c r="C67" s="9">
        <v>220024</v>
      </c>
      <c r="D67" s="9">
        <v>1</v>
      </c>
      <c r="E67" s="9">
        <v>11</v>
      </c>
      <c r="F67" s="9" t="s">
        <v>98</v>
      </c>
      <c r="G67" s="9">
        <v>4</v>
      </c>
      <c r="H67" s="9">
        <v>4</v>
      </c>
      <c r="I67" s="16" t="s">
        <v>31</v>
      </c>
      <c r="J67" s="16" t="s">
        <v>90</v>
      </c>
      <c r="K67" s="9">
        <v>300</v>
      </c>
      <c r="L67" s="9">
        <v>2</v>
      </c>
      <c r="M67" s="9">
        <v>0</v>
      </c>
      <c r="N67" s="9">
        <f t="shared" si="6"/>
        <v>9</v>
      </c>
      <c r="O67" s="9">
        <v>5</v>
      </c>
      <c r="P67" s="9">
        <v>3</v>
      </c>
      <c r="Q67" s="9">
        <f t="shared" si="4"/>
        <v>16</v>
      </c>
    </row>
    <row r="68" s="12" customFormat="1" customHeight="1" spans="3:17">
      <c r="C68" s="9">
        <v>220025</v>
      </c>
      <c r="D68" s="9">
        <v>1</v>
      </c>
      <c r="E68" s="9">
        <v>11</v>
      </c>
      <c r="F68" s="9" t="s">
        <v>99</v>
      </c>
      <c r="G68" s="9">
        <v>5</v>
      </c>
      <c r="H68" s="16" t="s">
        <v>34</v>
      </c>
      <c r="I68" s="16" t="s">
        <v>31</v>
      </c>
      <c r="J68" s="16" t="s">
        <v>90</v>
      </c>
      <c r="K68" s="9">
        <v>300</v>
      </c>
      <c r="L68" s="9">
        <v>2</v>
      </c>
      <c r="M68" s="9">
        <v>0</v>
      </c>
      <c r="N68" s="9">
        <f t="shared" si="6"/>
        <v>9</v>
      </c>
      <c r="O68" s="9">
        <v>5</v>
      </c>
      <c r="P68" s="9">
        <v>3</v>
      </c>
      <c r="Q68" s="9">
        <f t="shared" si="4"/>
        <v>16</v>
      </c>
    </row>
    <row r="69" s="12" customFormat="1" customHeight="1" spans="3:17">
      <c r="C69" s="9">
        <v>220026</v>
      </c>
      <c r="D69" s="9">
        <v>1</v>
      </c>
      <c r="E69" s="9">
        <v>11</v>
      </c>
      <c r="F69" s="9" t="s">
        <v>100</v>
      </c>
      <c r="G69" s="9">
        <v>7</v>
      </c>
      <c r="H69" s="16" t="s">
        <v>36</v>
      </c>
      <c r="I69" s="16" t="s">
        <v>40</v>
      </c>
      <c r="J69" s="16" t="s">
        <v>88</v>
      </c>
      <c r="K69" s="9">
        <v>300</v>
      </c>
      <c r="L69" s="9">
        <v>2</v>
      </c>
      <c r="M69" s="9">
        <v>0</v>
      </c>
      <c r="N69" s="9">
        <f t="shared" si="6"/>
        <v>9</v>
      </c>
      <c r="O69" s="9">
        <v>5</v>
      </c>
      <c r="P69" s="9">
        <v>3</v>
      </c>
      <c r="Q69" s="9">
        <f t="shared" si="4"/>
        <v>16</v>
      </c>
    </row>
    <row r="70" s="12" customFormat="1" customHeight="1" spans="3:17">
      <c r="C70" s="9">
        <v>220027</v>
      </c>
      <c r="D70" s="9">
        <v>1</v>
      </c>
      <c r="E70" s="9">
        <v>11</v>
      </c>
      <c r="F70" s="9" t="s">
        <v>101</v>
      </c>
      <c r="G70" s="9">
        <v>9</v>
      </c>
      <c r="H70" s="9">
        <v>9</v>
      </c>
      <c r="I70" s="16" t="s">
        <v>27</v>
      </c>
      <c r="J70" s="16" t="s">
        <v>88</v>
      </c>
      <c r="K70" s="9">
        <v>300</v>
      </c>
      <c r="L70" s="9">
        <v>2</v>
      </c>
      <c r="M70" s="9">
        <v>0</v>
      </c>
      <c r="N70" s="9">
        <f t="shared" si="6"/>
        <v>9</v>
      </c>
      <c r="O70" s="9">
        <v>5</v>
      </c>
      <c r="P70" s="9">
        <v>3</v>
      </c>
      <c r="Q70" s="9">
        <f t="shared" si="4"/>
        <v>16</v>
      </c>
    </row>
    <row r="71" s="12" customFormat="1" customHeight="1" spans="3:17">
      <c r="C71" s="9">
        <v>220028</v>
      </c>
      <c r="D71" s="9">
        <v>1</v>
      </c>
      <c r="E71" s="9">
        <v>11</v>
      </c>
      <c r="F71" s="9" t="s">
        <v>102</v>
      </c>
      <c r="G71" s="9">
        <v>10</v>
      </c>
      <c r="H71" s="9">
        <v>10</v>
      </c>
      <c r="I71" s="16" t="s">
        <v>31</v>
      </c>
      <c r="J71" s="16" t="s">
        <v>90</v>
      </c>
      <c r="K71" s="9">
        <v>300</v>
      </c>
      <c r="L71" s="9">
        <v>2</v>
      </c>
      <c r="M71" s="9">
        <v>0</v>
      </c>
      <c r="N71" s="9">
        <f t="shared" si="6"/>
        <v>9</v>
      </c>
      <c r="O71" s="9">
        <v>5</v>
      </c>
      <c r="P71" s="9">
        <v>3</v>
      </c>
      <c r="Q71" s="9">
        <f t="shared" si="4"/>
        <v>16</v>
      </c>
    </row>
    <row r="72" s="12" customFormat="1" customHeight="1" spans="3:17">
      <c r="C72" s="9">
        <v>230021</v>
      </c>
      <c r="D72" s="9">
        <v>1</v>
      </c>
      <c r="E72" s="9">
        <v>11</v>
      </c>
      <c r="F72" s="9" t="s">
        <v>103</v>
      </c>
      <c r="G72" s="9">
        <v>1</v>
      </c>
      <c r="H72" s="9">
        <v>1</v>
      </c>
      <c r="I72" s="16" t="s">
        <v>49</v>
      </c>
      <c r="J72" s="16" t="s">
        <v>85</v>
      </c>
      <c r="K72" s="9">
        <v>900</v>
      </c>
      <c r="L72" s="9">
        <v>3</v>
      </c>
      <c r="M72" s="9">
        <v>0</v>
      </c>
      <c r="N72" s="9">
        <f>(E72-1)/5*3+1</f>
        <v>7</v>
      </c>
      <c r="O72" s="9">
        <v>5</v>
      </c>
      <c r="P72" s="9">
        <v>6</v>
      </c>
      <c r="Q72" s="9">
        <f t="shared" si="4"/>
        <v>16</v>
      </c>
    </row>
    <row r="73" s="12" customFormat="1" customHeight="1" spans="3:17">
      <c r="C73" s="9">
        <v>230022</v>
      </c>
      <c r="D73" s="9">
        <v>1</v>
      </c>
      <c r="E73" s="9">
        <v>11</v>
      </c>
      <c r="F73" s="9" t="s">
        <v>104</v>
      </c>
      <c r="G73" s="9">
        <v>2</v>
      </c>
      <c r="H73" s="9">
        <v>2</v>
      </c>
      <c r="I73" s="16" t="s">
        <v>27</v>
      </c>
      <c r="J73" s="16" t="s">
        <v>85</v>
      </c>
      <c r="K73" s="9">
        <v>900</v>
      </c>
      <c r="L73" s="9">
        <v>3</v>
      </c>
      <c r="M73" s="9">
        <v>0</v>
      </c>
      <c r="N73" s="9">
        <f>(E73-1)/5*3+2</f>
        <v>8</v>
      </c>
      <c r="O73" s="9">
        <v>5</v>
      </c>
      <c r="P73" s="9">
        <v>6</v>
      </c>
      <c r="Q73" s="9">
        <f t="shared" si="4"/>
        <v>16</v>
      </c>
    </row>
    <row r="74" s="12" customFormat="1" customHeight="1" spans="3:17">
      <c r="C74" s="9">
        <v>230023</v>
      </c>
      <c r="D74" s="9">
        <v>1</v>
      </c>
      <c r="E74" s="9">
        <v>11</v>
      </c>
      <c r="F74" s="9" t="s">
        <v>105</v>
      </c>
      <c r="G74" s="9">
        <v>3</v>
      </c>
      <c r="H74" s="9">
        <v>3</v>
      </c>
      <c r="I74" s="16" t="s">
        <v>49</v>
      </c>
      <c r="J74" s="16" t="s">
        <v>88</v>
      </c>
      <c r="K74" s="9">
        <v>300</v>
      </c>
      <c r="L74" s="9">
        <v>3</v>
      </c>
      <c r="M74" s="9">
        <v>0</v>
      </c>
      <c r="N74" s="9">
        <f t="shared" ref="N74:N79" si="7">(E74-1)/5*3+3</f>
        <v>9</v>
      </c>
      <c r="O74" s="9">
        <v>5</v>
      </c>
      <c r="P74" s="9">
        <v>3</v>
      </c>
      <c r="Q74" s="9">
        <f t="shared" si="4"/>
        <v>16</v>
      </c>
    </row>
    <row r="75" s="12" customFormat="1" customHeight="1" spans="3:17">
      <c r="C75" s="9">
        <v>230024</v>
      </c>
      <c r="D75" s="9">
        <v>1</v>
      </c>
      <c r="E75" s="9">
        <v>11</v>
      </c>
      <c r="F75" s="9" t="s">
        <v>106</v>
      </c>
      <c r="G75" s="9">
        <v>4</v>
      </c>
      <c r="H75" s="9">
        <v>4</v>
      </c>
      <c r="I75" s="16" t="s">
        <v>31</v>
      </c>
      <c r="J75" s="16" t="s">
        <v>90</v>
      </c>
      <c r="K75" s="9">
        <v>300</v>
      </c>
      <c r="L75" s="9">
        <v>3</v>
      </c>
      <c r="M75" s="9">
        <v>0</v>
      </c>
      <c r="N75" s="9">
        <f t="shared" si="7"/>
        <v>9</v>
      </c>
      <c r="O75" s="9">
        <v>5</v>
      </c>
      <c r="P75" s="9">
        <v>3</v>
      </c>
      <c r="Q75" s="9">
        <f t="shared" si="4"/>
        <v>16</v>
      </c>
    </row>
    <row r="76" s="12" customFormat="1" customHeight="1" spans="3:17">
      <c r="C76" s="9">
        <v>230025</v>
      </c>
      <c r="D76" s="9">
        <v>1</v>
      </c>
      <c r="E76" s="9">
        <v>11</v>
      </c>
      <c r="F76" s="9" t="s">
        <v>107</v>
      </c>
      <c r="G76" s="9">
        <v>5</v>
      </c>
      <c r="H76" s="16" t="s">
        <v>34</v>
      </c>
      <c r="I76" s="16" t="s">
        <v>31</v>
      </c>
      <c r="J76" s="16" t="s">
        <v>90</v>
      </c>
      <c r="K76" s="9">
        <v>300</v>
      </c>
      <c r="L76" s="9">
        <v>3</v>
      </c>
      <c r="M76" s="9">
        <v>0</v>
      </c>
      <c r="N76" s="9">
        <f t="shared" si="7"/>
        <v>9</v>
      </c>
      <c r="O76" s="9">
        <v>5</v>
      </c>
      <c r="P76" s="9">
        <v>3</v>
      </c>
      <c r="Q76" s="9">
        <f t="shared" si="4"/>
        <v>16</v>
      </c>
    </row>
    <row r="77" s="12" customFormat="1" customHeight="1" spans="3:17">
      <c r="C77" s="9">
        <v>230026</v>
      </c>
      <c r="D77" s="9">
        <v>1</v>
      </c>
      <c r="E77" s="9">
        <v>11</v>
      </c>
      <c r="F77" s="9" t="s">
        <v>108</v>
      </c>
      <c r="G77" s="9">
        <v>7</v>
      </c>
      <c r="H77" s="16" t="s">
        <v>36</v>
      </c>
      <c r="I77" s="16" t="s">
        <v>49</v>
      </c>
      <c r="J77" s="16" t="s">
        <v>88</v>
      </c>
      <c r="K77" s="9">
        <v>300</v>
      </c>
      <c r="L77" s="9">
        <v>3</v>
      </c>
      <c r="M77" s="9">
        <v>0</v>
      </c>
      <c r="N77" s="9">
        <f t="shared" si="7"/>
        <v>9</v>
      </c>
      <c r="O77" s="9">
        <v>5</v>
      </c>
      <c r="P77" s="9">
        <v>3</v>
      </c>
      <c r="Q77" s="9">
        <f t="shared" si="4"/>
        <v>16</v>
      </c>
    </row>
    <row r="78" s="12" customFormat="1" customHeight="1" spans="3:17">
      <c r="C78" s="9">
        <v>230027</v>
      </c>
      <c r="D78" s="9">
        <v>1</v>
      </c>
      <c r="E78" s="9">
        <v>11</v>
      </c>
      <c r="F78" s="9" t="s">
        <v>109</v>
      </c>
      <c r="G78" s="9">
        <v>9</v>
      </c>
      <c r="H78" s="9">
        <v>9</v>
      </c>
      <c r="I78" s="16" t="s">
        <v>27</v>
      </c>
      <c r="J78" s="16" t="s">
        <v>88</v>
      </c>
      <c r="K78" s="9">
        <v>300</v>
      </c>
      <c r="L78" s="9">
        <v>3</v>
      </c>
      <c r="M78" s="9">
        <v>0</v>
      </c>
      <c r="N78" s="9">
        <f t="shared" si="7"/>
        <v>9</v>
      </c>
      <c r="O78" s="9">
        <v>5</v>
      </c>
      <c r="P78" s="9">
        <v>3</v>
      </c>
      <c r="Q78" s="9">
        <f t="shared" si="4"/>
        <v>16</v>
      </c>
    </row>
    <row r="79" s="12" customFormat="1" customHeight="1" spans="3:17">
      <c r="C79" s="9">
        <v>230028</v>
      </c>
      <c r="D79" s="9">
        <v>1</v>
      </c>
      <c r="E79" s="9">
        <v>11</v>
      </c>
      <c r="F79" s="9" t="s">
        <v>110</v>
      </c>
      <c r="G79" s="9">
        <v>10</v>
      </c>
      <c r="H79" s="9">
        <v>10</v>
      </c>
      <c r="I79" s="16" t="s">
        <v>31</v>
      </c>
      <c r="J79" s="16" t="s">
        <v>90</v>
      </c>
      <c r="K79" s="9">
        <v>300</v>
      </c>
      <c r="L79" s="9">
        <v>3</v>
      </c>
      <c r="M79" s="9">
        <v>0</v>
      </c>
      <c r="N79" s="9">
        <f t="shared" si="7"/>
        <v>9</v>
      </c>
      <c r="O79" s="9">
        <v>5</v>
      </c>
      <c r="P79" s="9">
        <v>3</v>
      </c>
      <c r="Q79" s="9">
        <f t="shared" si="4"/>
        <v>16</v>
      </c>
    </row>
    <row r="80" s="12" customFormat="1" customHeight="1" spans="3:17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="12" customFormat="1" customHeight="1" spans="3:17">
      <c r="C81" s="9">
        <v>210031</v>
      </c>
      <c r="D81" s="9">
        <v>1</v>
      </c>
      <c r="E81" s="9">
        <v>16</v>
      </c>
      <c r="F81" s="9" t="s">
        <v>111</v>
      </c>
      <c r="G81" s="9">
        <v>1</v>
      </c>
      <c r="H81" s="9">
        <v>1</v>
      </c>
      <c r="I81" s="16" t="s">
        <v>24</v>
      </c>
      <c r="J81" s="16" t="s">
        <v>112</v>
      </c>
      <c r="K81" s="9">
        <f>(E81-1)/5*300+300</f>
        <v>1200</v>
      </c>
      <c r="L81" s="9">
        <v>1</v>
      </c>
      <c r="M81" s="9">
        <v>0</v>
      </c>
      <c r="N81" s="9">
        <f>(E81-1)/5*3+1</f>
        <v>10</v>
      </c>
      <c r="O81" s="9">
        <v>5</v>
      </c>
      <c r="P81" s="9">
        <v>8</v>
      </c>
      <c r="Q81" s="9">
        <f t="shared" ref="Q81:Q104" si="8">(E81-1)/5*3+10</f>
        <v>19</v>
      </c>
    </row>
    <row r="82" s="12" customFormat="1" customHeight="1" spans="3:17">
      <c r="C82" s="9">
        <v>210032</v>
      </c>
      <c r="D82" s="9">
        <v>1</v>
      </c>
      <c r="E82" s="9">
        <v>16</v>
      </c>
      <c r="F82" s="9" t="s">
        <v>113</v>
      </c>
      <c r="G82" s="9">
        <v>2</v>
      </c>
      <c r="H82" s="9">
        <v>2</v>
      </c>
      <c r="I82" s="16" t="s">
        <v>27</v>
      </c>
      <c r="J82" s="16" t="s">
        <v>112</v>
      </c>
      <c r="K82" s="9">
        <f>(E82-1)/5*300+300</f>
        <v>1200</v>
      </c>
      <c r="L82" s="9">
        <v>1</v>
      </c>
      <c r="M82" s="9">
        <v>0</v>
      </c>
      <c r="N82" s="9">
        <f>(E82-1)/5*3+2</f>
        <v>11</v>
      </c>
      <c r="O82" s="9">
        <v>5</v>
      </c>
      <c r="P82" s="9">
        <v>8</v>
      </c>
      <c r="Q82" s="9">
        <f t="shared" si="8"/>
        <v>19</v>
      </c>
    </row>
    <row r="83" s="12" customFormat="1" customHeight="1" spans="3:17">
      <c r="C83" s="9">
        <v>210033</v>
      </c>
      <c r="D83" s="9">
        <v>1</v>
      </c>
      <c r="E83" s="9">
        <v>16</v>
      </c>
      <c r="F83" s="9" t="s">
        <v>114</v>
      </c>
      <c r="G83" s="9">
        <v>3</v>
      </c>
      <c r="H83" s="9">
        <v>3</v>
      </c>
      <c r="I83" s="16" t="s">
        <v>24</v>
      </c>
      <c r="J83" s="16" t="s">
        <v>115</v>
      </c>
      <c r="K83" s="9">
        <f t="shared" ref="K83:K88" si="9">(E83-1)/5*100+100</f>
        <v>400</v>
      </c>
      <c r="L83" s="9">
        <v>1</v>
      </c>
      <c r="M83" s="9">
        <v>0</v>
      </c>
      <c r="N83" s="9">
        <f t="shared" ref="N83:N88" si="10">(E83-1)/5*3+3</f>
        <v>12</v>
      </c>
      <c r="O83" s="9">
        <v>5</v>
      </c>
      <c r="P83" s="9">
        <v>4</v>
      </c>
      <c r="Q83" s="9">
        <f t="shared" si="8"/>
        <v>19</v>
      </c>
    </row>
    <row r="84" s="12" customFormat="1" customHeight="1" spans="3:17">
      <c r="C84" s="9">
        <v>210034</v>
      </c>
      <c r="D84" s="9">
        <v>1</v>
      </c>
      <c r="E84" s="9">
        <v>16</v>
      </c>
      <c r="F84" s="9" t="s">
        <v>116</v>
      </c>
      <c r="G84" s="9">
        <v>4</v>
      </c>
      <c r="H84" s="9">
        <v>4</v>
      </c>
      <c r="I84" s="16" t="s">
        <v>31</v>
      </c>
      <c r="J84" s="16" t="s">
        <v>117</v>
      </c>
      <c r="K84" s="9">
        <f t="shared" si="9"/>
        <v>400</v>
      </c>
      <c r="L84" s="9">
        <v>1</v>
      </c>
      <c r="M84" s="9">
        <v>0</v>
      </c>
      <c r="N84" s="9">
        <f t="shared" si="10"/>
        <v>12</v>
      </c>
      <c r="O84" s="9">
        <v>5</v>
      </c>
      <c r="P84" s="9">
        <v>4</v>
      </c>
      <c r="Q84" s="9">
        <f t="shared" si="8"/>
        <v>19</v>
      </c>
    </row>
    <row r="85" s="12" customFormat="1" customHeight="1" spans="3:17">
      <c r="C85" s="9">
        <v>210035</v>
      </c>
      <c r="D85" s="9">
        <v>1</v>
      </c>
      <c r="E85" s="9">
        <v>16</v>
      </c>
      <c r="F85" s="9" t="s">
        <v>118</v>
      </c>
      <c r="G85" s="9">
        <v>5</v>
      </c>
      <c r="H85" s="16" t="s">
        <v>34</v>
      </c>
      <c r="I85" s="16" t="s">
        <v>31</v>
      </c>
      <c r="J85" s="16" t="s">
        <v>117</v>
      </c>
      <c r="K85" s="9">
        <f t="shared" si="9"/>
        <v>400</v>
      </c>
      <c r="L85" s="9">
        <v>1</v>
      </c>
      <c r="M85" s="9">
        <v>0</v>
      </c>
      <c r="N85" s="9">
        <f t="shared" si="10"/>
        <v>12</v>
      </c>
      <c r="O85" s="9">
        <v>5</v>
      </c>
      <c r="P85" s="9">
        <v>4</v>
      </c>
      <c r="Q85" s="9">
        <f t="shared" si="8"/>
        <v>19</v>
      </c>
    </row>
    <row r="86" s="12" customFormat="1" customHeight="1" spans="3:17">
      <c r="C86" s="9">
        <v>210036</v>
      </c>
      <c r="D86" s="9">
        <v>1</v>
      </c>
      <c r="E86" s="9">
        <v>16</v>
      </c>
      <c r="F86" s="9" t="s">
        <v>119</v>
      </c>
      <c r="G86" s="9">
        <v>7</v>
      </c>
      <c r="H86" s="16" t="s">
        <v>36</v>
      </c>
      <c r="I86" s="16" t="s">
        <v>24</v>
      </c>
      <c r="J86" s="16" t="s">
        <v>115</v>
      </c>
      <c r="K86" s="9">
        <f t="shared" si="9"/>
        <v>400</v>
      </c>
      <c r="L86" s="9">
        <v>1</v>
      </c>
      <c r="M86" s="9">
        <v>0</v>
      </c>
      <c r="N86" s="9">
        <f t="shared" si="10"/>
        <v>12</v>
      </c>
      <c r="O86" s="9">
        <v>5</v>
      </c>
      <c r="P86" s="9">
        <v>4</v>
      </c>
      <c r="Q86" s="9">
        <f t="shared" si="8"/>
        <v>19</v>
      </c>
    </row>
    <row r="87" s="12" customFormat="1" customHeight="1" spans="3:17">
      <c r="C87" s="9">
        <v>210037</v>
      </c>
      <c r="D87" s="9">
        <v>1</v>
      </c>
      <c r="E87" s="9">
        <v>16</v>
      </c>
      <c r="F87" s="9" t="s">
        <v>120</v>
      </c>
      <c r="G87" s="9">
        <v>9</v>
      </c>
      <c r="H87" s="9">
        <v>9</v>
      </c>
      <c r="I87" s="16" t="s">
        <v>27</v>
      </c>
      <c r="J87" s="16" t="s">
        <v>115</v>
      </c>
      <c r="K87" s="9">
        <f t="shared" si="9"/>
        <v>400</v>
      </c>
      <c r="L87" s="9">
        <v>1</v>
      </c>
      <c r="M87" s="9">
        <v>0</v>
      </c>
      <c r="N87" s="9">
        <f t="shared" si="10"/>
        <v>12</v>
      </c>
      <c r="O87" s="9">
        <v>5</v>
      </c>
      <c r="P87" s="9">
        <v>4</v>
      </c>
      <c r="Q87" s="9">
        <f t="shared" si="8"/>
        <v>19</v>
      </c>
    </row>
    <row r="88" s="12" customFormat="1" customHeight="1" spans="3:17">
      <c r="C88" s="9">
        <v>210038</v>
      </c>
      <c r="D88" s="9">
        <v>1</v>
      </c>
      <c r="E88" s="9">
        <v>16</v>
      </c>
      <c r="F88" s="9" t="s">
        <v>121</v>
      </c>
      <c r="G88" s="9">
        <v>10</v>
      </c>
      <c r="H88" s="9">
        <v>10</v>
      </c>
      <c r="I88" s="16" t="s">
        <v>31</v>
      </c>
      <c r="J88" s="16" t="s">
        <v>117</v>
      </c>
      <c r="K88" s="9">
        <f t="shared" si="9"/>
        <v>400</v>
      </c>
      <c r="L88" s="9">
        <v>1</v>
      </c>
      <c r="M88" s="9">
        <v>0</v>
      </c>
      <c r="N88" s="9">
        <f t="shared" si="10"/>
        <v>12</v>
      </c>
      <c r="O88" s="9">
        <v>5</v>
      </c>
      <c r="P88" s="9">
        <v>4</v>
      </c>
      <c r="Q88" s="9">
        <f t="shared" si="8"/>
        <v>19</v>
      </c>
    </row>
    <row r="89" s="12" customFormat="1" customHeight="1" spans="3:17">
      <c r="C89" s="9">
        <v>220031</v>
      </c>
      <c r="D89" s="9">
        <v>1</v>
      </c>
      <c r="E89" s="9">
        <v>16</v>
      </c>
      <c r="F89" s="9" t="s">
        <v>122</v>
      </c>
      <c r="G89" s="9">
        <v>1</v>
      </c>
      <c r="H89" s="9">
        <v>1</v>
      </c>
      <c r="I89" s="16" t="s">
        <v>40</v>
      </c>
      <c r="J89" s="16" t="s">
        <v>112</v>
      </c>
      <c r="K89" s="9">
        <f>(E89-1)/5*300+300</f>
        <v>1200</v>
      </c>
      <c r="L89" s="9">
        <v>2</v>
      </c>
      <c r="M89" s="9">
        <v>0</v>
      </c>
      <c r="N89" s="9">
        <f>(E89-1)/5*3+1</f>
        <v>10</v>
      </c>
      <c r="O89" s="9">
        <v>5</v>
      </c>
      <c r="P89" s="9">
        <v>8</v>
      </c>
      <c r="Q89" s="9">
        <f t="shared" si="8"/>
        <v>19</v>
      </c>
    </row>
    <row r="90" s="12" customFormat="1" customHeight="1" spans="3:17">
      <c r="C90" s="9">
        <v>220032</v>
      </c>
      <c r="D90" s="9">
        <v>1</v>
      </c>
      <c r="E90" s="9">
        <v>16</v>
      </c>
      <c r="F90" s="9" t="s">
        <v>123</v>
      </c>
      <c r="G90" s="9">
        <v>2</v>
      </c>
      <c r="H90" s="9">
        <v>2</v>
      </c>
      <c r="I90" s="16" t="s">
        <v>27</v>
      </c>
      <c r="J90" s="16" t="s">
        <v>112</v>
      </c>
      <c r="K90" s="9">
        <f>(E90-1)/5*300+300</f>
        <v>1200</v>
      </c>
      <c r="L90" s="9">
        <v>2</v>
      </c>
      <c r="M90" s="9">
        <v>0</v>
      </c>
      <c r="N90" s="9">
        <f>(E90-1)/5*3+2</f>
        <v>11</v>
      </c>
      <c r="O90" s="9">
        <v>5</v>
      </c>
      <c r="P90" s="9">
        <v>8</v>
      </c>
      <c r="Q90" s="9">
        <f t="shared" si="8"/>
        <v>19</v>
      </c>
    </row>
    <row r="91" s="12" customFormat="1" customHeight="1" spans="3:17">
      <c r="C91" s="9">
        <v>220033</v>
      </c>
      <c r="D91" s="9">
        <v>1</v>
      </c>
      <c r="E91" s="9">
        <v>16</v>
      </c>
      <c r="F91" s="9" t="s">
        <v>124</v>
      </c>
      <c r="G91" s="9">
        <v>3</v>
      </c>
      <c r="H91" s="9">
        <v>3</v>
      </c>
      <c r="I91" s="16" t="s">
        <v>40</v>
      </c>
      <c r="J91" s="16" t="s">
        <v>115</v>
      </c>
      <c r="K91" s="9">
        <f t="shared" ref="K91:K96" si="11">(E91-1)/5*100+100</f>
        <v>400</v>
      </c>
      <c r="L91" s="9">
        <v>2</v>
      </c>
      <c r="M91" s="9">
        <v>0</v>
      </c>
      <c r="N91" s="9">
        <f t="shared" ref="N91:N96" si="12">(E91-1)/5*3+3</f>
        <v>12</v>
      </c>
      <c r="O91" s="9">
        <v>5</v>
      </c>
      <c r="P91" s="9">
        <v>4</v>
      </c>
      <c r="Q91" s="9">
        <f t="shared" si="8"/>
        <v>19</v>
      </c>
    </row>
    <row r="92" s="12" customFormat="1" customHeight="1" spans="3:17">
      <c r="C92" s="9">
        <v>220034</v>
      </c>
      <c r="D92" s="9">
        <v>1</v>
      </c>
      <c r="E92" s="9">
        <v>16</v>
      </c>
      <c r="F92" s="9" t="s">
        <v>125</v>
      </c>
      <c r="G92" s="9">
        <v>4</v>
      </c>
      <c r="H92" s="9">
        <v>4</v>
      </c>
      <c r="I92" s="16" t="s">
        <v>31</v>
      </c>
      <c r="J92" s="16" t="s">
        <v>117</v>
      </c>
      <c r="K92" s="9">
        <f t="shared" si="11"/>
        <v>400</v>
      </c>
      <c r="L92" s="9">
        <v>2</v>
      </c>
      <c r="M92" s="9">
        <v>0</v>
      </c>
      <c r="N92" s="9">
        <f t="shared" si="12"/>
        <v>12</v>
      </c>
      <c r="O92" s="9">
        <v>5</v>
      </c>
      <c r="P92" s="9">
        <v>4</v>
      </c>
      <c r="Q92" s="9">
        <f t="shared" si="8"/>
        <v>19</v>
      </c>
    </row>
    <row r="93" s="12" customFormat="1" customHeight="1" spans="3:17">
      <c r="C93" s="9">
        <v>220035</v>
      </c>
      <c r="D93" s="9">
        <v>1</v>
      </c>
      <c r="E93" s="9">
        <v>16</v>
      </c>
      <c r="F93" s="9" t="s">
        <v>126</v>
      </c>
      <c r="G93" s="9">
        <v>5</v>
      </c>
      <c r="H93" s="16" t="s">
        <v>34</v>
      </c>
      <c r="I93" s="16" t="s">
        <v>31</v>
      </c>
      <c r="J93" s="16" t="s">
        <v>117</v>
      </c>
      <c r="K93" s="9">
        <f t="shared" si="11"/>
        <v>400</v>
      </c>
      <c r="L93" s="9">
        <v>2</v>
      </c>
      <c r="M93" s="9">
        <v>0</v>
      </c>
      <c r="N93" s="9">
        <f t="shared" si="12"/>
        <v>12</v>
      </c>
      <c r="O93" s="9">
        <v>5</v>
      </c>
      <c r="P93" s="9">
        <v>4</v>
      </c>
      <c r="Q93" s="9">
        <f t="shared" si="8"/>
        <v>19</v>
      </c>
    </row>
    <row r="94" s="12" customFormat="1" customHeight="1" spans="3:17">
      <c r="C94" s="9">
        <v>220036</v>
      </c>
      <c r="D94" s="9">
        <v>1</v>
      </c>
      <c r="E94" s="9">
        <v>16</v>
      </c>
      <c r="F94" s="9" t="s">
        <v>127</v>
      </c>
      <c r="G94" s="9">
        <v>7</v>
      </c>
      <c r="H94" s="16" t="s">
        <v>36</v>
      </c>
      <c r="I94" s="16" t="s">
        <v>40</v>
      </c>
      <c r="J94" s="16" t="s">
        <v>115</v>
      </c>
      <c r="K94" s="9">
        <f t="shared" si="11"/>
        <v>400</v>
      </c>
      <c r="L94" s="9">
        <v>2</v>
      </c>
      <c r="M94" s="9">
        <v>0</v>
      </c>
      <c r="N94" s="9">
        <f t="shared" si="12"/>
        <v>12</v>
      </c>
      <c r="O94" s="9">
        <v>5</v>
      </c>
      <c r="P94" s="9">
        <v>4</v>
      </c>
      <c r="Q94" s="9">
        <f t="shared" si="8"/>
        <v>19</v>
      </c>
    </row>
    <row r="95" s="12" customFormat="1" customHeight="1" spans="3:17">
      <c r="C95" s="9">
        <v>220037</v>
      </c>
      <c r="D95" s="9">
        <v>1</v>
      </c>
      <c r="E95" s="9">
        <v>16</v>
      </c>
      <c r="F95" s="9" t="s">
        <v>128</v>
      </c>
      <c r="G95" s="9">
        <v>9</v>
      </c>
      <c r="H95" s="9">
        <v>9</v>
      </c>
      <c r="I95" s="16" t="s">
        <v>27</v>
      </c>
      <c r="J95" s="16" t="s">
        <v>115</v>
      </c>
      <c r="K95" s="9">
        <f t="shared" si="11"/>
        <v>400</v>
      </c>
      <c r="L95" s="9">
        <v>2</v>
      </c>
      <c r="M95" s="9">
        <v>0</v>
      </c>
      <c r="N95" s="9">
        <f t="shared" si="12"/>
        <v>12</v>
      </c>
      <c r="O95" s="9">
        <v>5</v>
      </c>
      <c r="P95" s="9">
        <v>4</v>
      </c>
      <c r="Q95" s="9">
        <f t="shared" si="8"/>
        <v>19</v>
      </c>
    </row>
    <row r="96" s="12" customFormat="1" customHeight="1" spans="3:17">
      <c r="C96" s="9">
        <v>220038</v>
      </c>
      <c r="D96" s="9">
        <v>1</v>
      </c>
      <c r="E96" s="9">
        <v>16</v>
      </c>
      <c r="F96" s="9" t="s">
        <v>129</v>
      </c>
      <c r="G96" s="9">
        <v>10</v>
      </c>
      <c r="H96" s="9">
        <v>10</v>
      </c>
      <c r="I96" s="16" t="s">
        <v>31</v>
      </c>
      <c r="J96" s="16" t="s">
        <v>117</v>
      </c>
      <c r="K96" s="9">
        <f t="shared" si="11"/>
        <v>400</v>
      </c>
      <c r="L96" s="9">
        <v>2</v>
      </c>
      <c r="M96" s="9">
        <v>0</v>
      </c>
      <c r="N96" s="9">
        <f t="shared" si="12"/>
        <v>12</v>
      </c>
      <c r="O96" s="9">
        <v>5</v>
      </c>
      <c r="P96" s="9">
        <v>4</v>
      </c>
      <c r="Q96" s="9">
        <f t="shared" si="8"/>
        <v>19</v>
      </c>
    </row>
    <row r="97" s="12" customFormat="1" customHeight="1" spans="3:17">
      <c r="C97" s="9">
        <v>230031</v>
      </c>
      <c r="D97" s="9">
        <v>1</v>
      </c>
      <c r="E97" s="9">
        <v>16</v>
      </c>
      <c r="F97" s="9" t="s">
        <v>130</v>
      </c>
      <c r="G97" s="9">
        <v>1</v>
      </c>
      <c r="H97" s="9">
        <v>1</v>
      </c>
      <c r="I97" s="16" t="s">
        <v>49</v>
      </c>
      <c r="J97" s="16" t="s">
        <v>112</v>
      </c>
      <c r="K97" s="9">
        <f>(E97-1)/5*300+300</f>
        <v>1200</v>
      </c>
      <c r="L97" s="9">
        <v>3</v>
      </c>
      <c r="M97" s="9">
        <v>0</v>
      </c>
      <c r="N97" s="9">
        <f>(E97-1)/5*3+1</f>
        <v>10</v>
      </c>
      <c r="O97" s="9">
        <v>5</v>
      </c>
      <c r="P97" s="9">
        <v>8</v>
      </c>
      <c r="Q97" s="9">
        <f t="shared" si="8"/>
        <v>19</v>
      </c>
    </row>
    <row r="98" s="12" customFormat="1" customHeight="1" spans="3:17">
      <c r="C98" s="9">
        <v>230032</v>
      </c>
      <c r="D98" s="9">
        <v>1</v>
      </c>
      <c r="E98" s="9">
        <v>16</v>
      </c>
      <c r="F98" s="9" t="s">
        <v>131</v>
      </c>
      <c r="G98" s="9">
        <v>2</v>
      </c>
      <c r="H98" s="9">
        <v>2</v>
      </c>
      <c r="I98" s="16" t="s">
        <v>27</v>
      </c>
      <c r="J98" s="16" t="s">
        <v>112</v>
      </c>
      <c r="K98" s="9">
        <f>(E98-1)/5*300+300</f>
        <v>1200</v>
      </c>
      <c r="L98" s="9">
        <v>3</v>
      </c>
      <c r="M98" s="9">
        <v>0</v>
      </c>
      <c r="N98" s="9">
        <f>(E98-1)/5*3+2</f>
        <v>11</v>
      </c>
      <c r="O98" s="9">
        <v>5</v>
      </c>
      <c r="P98" s="9">
        <v>8</v>
      </c>
      <c r="Q98" s="9">
        <f t="shared" si="8"/>
        <v>19</v>
      </c>
    </row>
    <row r="99" s="12" customFormat="1" customHeight="1" spans="3:17">
      <c r="C99" s="9">
        <v>230033</v>
      </c>
      <c r="D99" s="9">
        <v>1</v>
      </c>
      <c r="E99" s="9">
        <v>16</v>
      </c>
      <c r="F99" s="9" t="s">
        <v>132</v>
      </c>
      <c r="G99" s="9">
        <v>3</v>
      </c>
      <c r="H99" s="9">
        <v>3</v>
      </c>
      <c r="I99" s="16" t="s">
        <v>49</v>
      </c>
      <c r="J99" s="16" t="s">
        <v>115</v>
      </c>
      <c r="K99" s="9">
        <f t="shared" ref="K99:K104" si="13">(E99-1)/5*100+100</f>
        <v>400</v>
      </c>
      <c r="L99" s="9">
        <v>3</v>
      </c>
      <c r="M99" s="9">
        <v>0</v>
      </c>
      <c r="N99" s="9">
        <f t="shared" ref="N99:N104" si="14">(E99-1)/5*3+3</f>
        <v>12</v>
      </c>
      <c r="O99" s="9">
        <v>5</v>
      </c>
      <c r="P99" s="9">
        <v>4</v>
      </c>
      <c r="Q99" s="9">
        <f t="shared" si="8"/>
        <v>19</v>
      </c>
    </row>
    <row r="100" s="12" customFormat="1" customHeight="1" spans="3:17">
      <c r="C100" s="9">
        <v>230034</v>
      </c>
      <c r="D100" s="9">
        <v>1</v>
      </c>
      <c r="E100" s="9">
        <v>16</v>
      </c>
      <c r="F100" s="9" t="s">
        <v>133</v>
      </c>
      <c r="G100" s="9">
        <v>4</v>
      </c>
      <c r="H100" s="9">
        <v>4</v>
      </c>
      <c r="I100" s="16" t="s">
        <v>31</v>
      </c>
      <c r="J100" s="16" t="s">
        <v>117</v>
      </c>
      <c r="K100" s="9">
        <f t="shared" si="13"/>
        <v>400</v>
      </c>
      <c r="L100" s="9">
        <v>3</v>
      </c>
      <c r="M100" s="9">
        <v>0</v>
      </c>
      <c r="N100" s="9">
        <f t="shared" si="14"/>
        <v>12</v>
      </c>
      <c r="O100" s="9">
        <v>5</v>
      </c>
      <c r="P100" s="9">
        <v>4</v>
      </c>
      <c r="Q100" s="9">
        <f t="shared" si="8"/>
        <v>19</v>
      </c>
    </row>
    <row r="101" s="12" customFormat="1" customHeight="1" spans="3:17">
      <c r="C101" s="9">
        <v>230035</v>
      </c>
      <c r="D101" s="9">
        <v>1</v>
      </c>
      <c r="E101" s="9">
        <v>16</v>
      </c>
      <c r="F101" s="9" t="s">
        <v>134</v>
      </c>
      <c r="G101" s="9">
        <v>5</v>
      </c>
      <c r="H101" s="16" t="s">
        <v>34</v>
      </c>
      <c r="I101" s="16" t="s">
        <v>31</v>
      </c>
      <c r="J101" s="16" t="s">
        <v>117</v>
      </c>
      <c r="K101" s="9">
        <f t="shared" si="13"/>
        <v>400</v>
      </c>
      <c r="L101" s="9">
        <v>3</v>
      </c>
      <c r="M101" s="9">
        <v>0</v>
      </c>
      <c r="N101" s="9">
        <f t="shared" si="14"/>
        <v>12</v>
      </c>
      <c r="O101" s="9">
        <v>5</v>
      </c>
      <c r="P101" s="9">
        <v>4</v>
      </c>
      <c r="Q101" s="9">
        <f t="shared" si="8"/>
        <v>19</v>
      </c>
    </row>
    <row r="102" s="12" customFormat="1" customHeight="1" spans="3:17">
      <c r="C102" s="9">
        <v>230036</v>
      </c>
      <c r="D102" s="9">
        <v>1</v>
      </c>
      <c r="E102" s="9">
        <v>16</v>
      </c>
      <c r="F102" s="9" t="s">
        <v>135</v>
      </c>
      <c r="G102" s="9">
        <v>7</v>
      </c>
      <c r="H102" s="16" t="s">
        <v>36</v>
      </c>
      <c r="I102" s="16" t="s">
        <v>49</v>
      </c>
      <c r="J102" s="16" t="s">
        <v>115</v>
      </c>
      <c r="K102" s="9">
        <f t="shared" si="13"/>
        <v>400</v>
      </c>
      <c r="L102" s="9">
        <v>3</v>
      </c>
      <c r="M102" s="9">
        <v>0</v>
      </c>
      <c r="N102" s="9">
        <f t="shared" si="14"/>
        <v>12</v>
      </c>
      <c r="O102" s="9">
        <v>5</v>
      </c>
      <c r="P102" s="9">
        <v>4</v>
      </c>
      <c r="Q102" s="9">
        <f t="shared" si="8"/>
        <v>19</v>
      </c>
    </row>
    <row r="103" s="12" customFormat="1" customHeight="1" spans="3:17">
      <c r="C103" s="9">
        <v>230037</v>
      </c>
      <c r="D103" s="9">
        <v>1</v>
      </c>
      <c r="E103" s="9">
        <v>16</v>
      </c>
      <c r="F103" s="9" t="s">
        <v>136</v>
      </c>
      <c r="G103" s="9">
        <v>9</v>
      </c>
      <c r="H103" s="9">
        <v>9</v>
      </c>
      <c r="I103" s="16" t="s">
        <v>27</v>
      </c>
      <c r="J103" s="16" t="s">
        <v>115</v>
      </c>
      <c r="K103" s="9">
        <f t="shared" si="13"/>
        <v>400</v>
      </c>
      <c r="L103" s="9">
        <v>3</v>
      </c>
      <c r="M103" s="9">
        <v>0</v>
      </c>
      <c r="N103" s="9">
        <f t="shared" si="14"/>
        <v>12</v>
      </c>
      <c r="O103" s="9">
        <v>5</v>
      </c>
      <c r="P103" s="9">
        <v>4</v>
      </c>
      <c r="Q103" s="9">
        <f t="shared" si="8"/>
        <v>19</v>
      </c>
    </row>
    <row r="104" s="12" customFormat="1" customHeight="1" spans="3:17">
      <c r="C104" s="9">
        <v>230038</v>
      </c>
      <c r="D104" s="9">
        <v>1</v>
      </c>
      <c r="E104" s="9">
        <v>16</v>
      </c>
      <c r="F104" s="9" t="s">
        <v>137</v>
      </c>
      <c r="G104" s="9">
        <v>10</v>
      </c>
      <c r="H104" s="9">
        <v>10</v>
      </c>
      <c r="I104" s="16" t="s">
        <v>31</v>
      </c>
      <c r="J104" s="16" t="s">
        <v>117</v>
      </c>
      <c r="K104" s="9">
        <f t="shared" si="13"/>
        <v>400</v>
      </c>
      <c r="L104" s="9">
        <v>3</v>
      </c>
      <c r="M104" s="9">
        <v>0</v>
      </c>
      <c r="N104" s="9">
        <f t="shared" si="14"/>
        <v>12</v>
      </c>
      <c r="O104" s="9">
        <v>5</v>
      </c>
      <c r="P104" s="9">
        <v>4</v>
      </c>
      <c r="Q104" s="9">
        <f t="shared" si="8"/>
        <v>19</v>
      </c>
    </row>
    <row r="105" s="12" customFormat="1" customHeight="1" spans="3:17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="12" customFormat="1" customHeight="1"/>
    <row r="107" s="12" customFormat="1" customHeight="1"/>
  </sheetData>
  <dataValidations count="1">
    <dataValidation type="custom" allowBlank="1" showErrorMessage="1" errorTitle="拒绝重复输入" error="当前输入的内容，与本区域的其他单元格内容重复。" sqref="C3:H5 K3:Q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Q116"/>
  <sheetViews>
    <sheetView topLeftCell="A59" workbookViewId="0">
      <selection activeCell="K81" sqref="K81:K104"/>
    </sheetView>
  </sheetViews>
  <sheetFormatPr defaultColWidth="13" defaultRowHeight="18" customHeight="1"/>
  <cols>
    <col min="1" max="1" width="6.125" style="9" customWidth="1"/>
    <col min="2" max="2" width="6.5" style="9" customWidth="1"/>
    <col min="3" max="3" width="13" style="9" customWidth="1"/>
    <col min="4" max="4" width="11.25" style="9" customWidth="1"/>
    <col min="5" max="7" width="13" style="9" customWidth="1"/>
    <col min="8" max="8" width="12.5" style="9" customWidth="1"/>
    <col min="9" max="9" width="18" style="9" customWidth="1"/>
    <col min="10" max="10" width="19.125" style="9" customWidth="1"/>
    <col min="11" max="16380" width="13" style="9" customWidth="1"/>
    <col min="16381" max="16384" width="13" style="9"/>
  </cols>
  <sheetData>
    <row r="3" s="9" customFormat="1" customHeight="1" spans="3:17">
      <c r="C3" s="13" t="s">
        <v>0</v>
      </c>
      <c r="D3" s="13" t="s">
        <v>1</v>
      </c>
      <c r="E3" s="13" t="s">
        <v>2</v>
      </c>
      <c r="F3" s="13" t="s">
        <v>3</v>
      </c>
      <c r="G3" s="13" t="s">
        <v>4</v>
      </c>
      <c r="H3" s="13" t="s">
        <v>5</v>
      </c>
      <c r="I3" s="14" t="s">
        <v>6</v>
      </c>
      <c r="J3" s="15" t="s">
        <v>7</v>
      </c>
      <c r="K3" s="13" t="s">
        <v>8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  <c r="Q3" s="13" t="s">
        <v>14</v>
      </c>
    </row>
    <row r="4" s="9" customFormat="1" customHeight="1" spans="3:17">
      <c r="C4" s="13" t="s">
        <v>15</v>
      </c>
      <c r="D4" s="13" t="s">
        <v>1</v>
      </c>
      <c r="E4" s="13" t="s">
        <v>2</v>
      </c>
      <c r="F4" s="13" t="s">
        <v>3</v>
      </c>
      <c r="G4" s="13" t="s">
        <v>4</v>
      </c>
      <c r="H4" s="13" t="s">
        <v>5</v>
      </c>
      <c r="I4" s="14" t="s">
        <v>16</v>
      </c>
      <c r="J4" s="15" t="s">
        <v>17</v>
      </c>
      <c r="K4" s="13" t="s">
        <v>8</v>
      </c>
      <c r="L4" s="13" t="s">
        <v>9</v>
      </c>
      <c r="M4" s="13" t="s">
        <v>10</v>
      </c>
      <c r="N4" s="13" t="s">
        <v>11</v>
      </c>
      <c r="O4" s="13" t="s">
        <v>12</v>
      </c>
      <c r="P4" s="13" t="s">
        <v>13</v>
      </c>
      <c r="Q4" s="13" t="s">
        <v>14</v>
      </c>
    </row>
    <row r="5" s="9" customFormat="1" customHeight="1" spans="3:17">
      <c r="C5" s="13" t="s">
        <v>18</v>
      </c>
      <c r="D5" s="13" t="s">
        <v>18</v>
      </c>
      <c r="E5" s="13" t="s">
        <v>18</v>
      </c>
      <c r="F5" s="13" t="s">
        <v>19</v>
      </c>
      <c r="G5" s="13" t="s">
        <v>18</v>
      </c>
      <c r="H5" s="13" t="s">
        <v>20</v>
      </c>
      <c r="I5" s="14" t="s">
        <v>20</v>
      </c>
      <c r="J5" s="15" t="s">
        <v>21</v>
      </c>
      <c r="K5" s="13" t="s">
        <v>22</v>
      </c>
      <c r="L5" s="13" t="s">
        <v>18</v>
      </c>
      <c r="M5" s="13" t="s">
        <v>18</v>
      </c>
      <c r="N5" s="13" t="s">
        <v>18</v>
      </c>
      <c r="O5" s="13" t="s">
        <v>18</v>
      </c>
      <c r="P5" s="13" t="s">
        <v>22</v>
      </c>
      <c r="Q5" s="13" t="s">
        <v>22</v>
      </c>
    </row>
    <row r="6" s="9" customFormat="1" customHeight="1" spans="3:17">
      <c r="C6" s="9">
        <v>210041</v>
      </c>
      <c r="D6" s="9">
        <v>1</v>
      </c>
      <c r="E6" s="9">
        <v>21</v>
      </c>
      <c r="F6" s="9" t="s">
        <v>138</v>
      </c>
      <c r="G6" s="9">
        <v>1</v>
      </c>
      <c r="H6" s="9">
        <v>1</v>
      </c>
      <c r="I6" s="16" t="s">
        <v>24</v>
      </c>
      <c r="J6" s="16" t="s">
        <v>139</v>
      </c>
      <c r="K6" s="9">
        <f>(E6-1)/5*300+300</f>
        <v>1500</v>
      </c>
      <c r="L6" s="9">
        <v>1</v>
      </c>
      <c r="M6" s="9">
        <v>0</v>
      </c>
      <c r="N6" s="9">
        <f>(E6-1)/5*3+1</f>
        <v>13</v>
      </c>
      <c r="O6" s="9">
        <v>5</v>
      </c>
      <c r="P6" s="9">
        <v>10</v>
      </c>
      <c r="Q6" s="9">
        <f t="shared" ref="Q6:Q29" si="0">(E6-1)/5*3+10</f>
        <v>22</v>
      </c>
    </row>
    <row r="7" s="9" customFormat="1" customHeight="1" spans="3:17">
      <c r="C7" s="9">
        <v>210042</v>
      </c>
      <c r="D7" s="9">
        <v>1</v>
      </c>
      <c r="E7" s="9">
        <v>21</v>
      </c>
      <c r="F7" s="9" t="s">
        <v>140</v>
      </c>
      <c r="G7" s="9">
        <v>2</v>
      </c>
      <c r="H7" s="9">
        <v>2</v>
      </c>
      <c r="I7" s="16" t="s">
        <v>27</v>
      </c>
      <c r="J7" s="16" t="s">
        <v>139</v>
      </c>
      <c r="K7" s="9">
        <f>(E7-1)/5*300+300</f>
        <v>1500</v>
      </c>
      <c r="L7" s="9">
        <v>1</v>
      </c>
      <c r="M7" s="9">
        <v>0</v>
      </c>
      <c r="N7" s="9">
        <f>(E7-1)/5*3+2</f>
        <v>14</v>
      </c>
      <c r="O7" s="9">
        <v>5</v>
      </c>
      <c r="P7" s="9">
        <v>10</v>
      </c>
      <c r="Q7" s="9">
        <f t="shared" si="0"/>
        <v>22</v>
      </c>
    </row>
    <row r="8" s="9" customFormat="1" customHeight="1" spans="3:17">
      <c r="C8" s="9">
        <v>210043</v>
      </c>
      <c r="D8" s="9">
        <v>1</v>
      </c>
      <c r="E8" s="9">
        <v>21</v>
      </c>
      <c r="F8" s="9" t="s">
        <v>141</v>
      </c>
      <c r="G8" s="9">
        <v>3</v>
      </c>
      <c r="H8" s="9">
        <v>3</v>
      </c>
      <c r="I8" s="16" t="s">
        <v>24</v>
      </c>
      <c r="J8" s="16" t="s">
        <v>142</v>
      </c>
      <c r="K8" s="9">
        <f t="shared" ref="K8:K13" si="1">(E8-1)/5*100+100</f>
        <v>500</v>
      </c>
      <c r="L8" s="9">
        <v>1</v>
      </c>
      <c r="M8" s="9">
        <v>0</v>
      </c>
      <c r="N8" s="9">
        <f t="shared" ref="N8:N13" si="2">(E8-1)/5*3+3</f>
        <v>15</v>
      </c>
      <c r="O8" s="9">
        <v>5</v>
      </c>
      <c r="P8" s="9">
        <v>5</v>
      </c>
      <c r="Q8" s="9">
        <f t="shared" si="0"/>
        <v>22</v>
      </c>
    </row>
    <row r="9" s="9" customFormat="1" customHeight="1" spans="3:17">
      <c r="C9" s="9">
        <v>210044</v>
      </c>
      <c r="D9" s="9">
        <v>1</v>
      </c>
      <c r="E9" s="9">
        <v>21</v>
      </c>
      <c r="F9" s="9" t="s">
        <v>143</v>
      </c>
      <c r="G9" s="9">
        <v>4</v>
      </c>
      <c r="H9" s="9">
        <v>4</v>
      </c>
      <c r="I9" s="16" t="s">
        <v>31</v>
      </c>
      <c r="J9" s="16" t="s">
        <v>144</v>
      </c>
      <c r="K9" s="9">
        <f t="shared" si="1"/>
        <v>500</v>
      </c>
      <c r="L9" s="9">
        <v>1</v>
      </c>
      <c r="M9" s="9">
        <v>0</v>
      </c>
      <c r="N9" s="9">
        <f t="shared" si="2"/>
        <v>15</v>
      </c>
      <c r="O9" s="9">
        <v>5</v>
      </c>
      <c r="P9" s="9">
        <v>5</v>
      </c>
      <c r="Q9" s="9">
        <f t="shared" si="0"/>
        <v>22</v>
      </c>
    </row>
    <row r="10" s="9" customFormat="1" customHeight="1" spans="3:17">
      <c r="C10" s="9">
        <v>210045</v>
      </c>
      <c r="D10" s="9">
        <v>1</v>
      </c>
      <c r="E10" s="9">
        <v>21</v>
      </c>
      <c r="F10" s="9" t="s">
        <v>145</v>
      </c>
      <c r="G10" s="9">
        <v>5</v>
      </c>
      <c r="H10" s="16" t="s">
        <v>34</v>
      </c>
      <c r="I10" s="16" t="s">
        <v>31</v>
      </c>
      <c r="J10" s="16" t="s">
        <v>144</v>
      </c>
      <c r="K10" s="9">
        <f t="shared" si="1"/>
        <v>500</v>
      </c>
      <c r="L10" s="9">
        <v>1</v>
      </c>
      <c r="M10" s="9">
        <v>0</v>
      </c>
      <c r="N10" s="9">
        <f t="shared" si="2"/>
        <v>15</v>
      </c>
      <c r="O10" s="9">
        <v>5</v>
      </c>
      <c r="P10" s="9">
        <v>5</v>
      </c>
      <c r="Q10" s="9">
        <f t="shared" si="0"/>
        <v>22</v>
      </c>
    </row>
    <row r="11" s="9" customFormat="1" customHeight="1" spans="3:17">
      <c r="C11" s="9">
        <v>210046</v>
      </c>
      <c r="D11" s="9">
        <v>1</v>
      </c>
      <c r="E11" s="9">
        <v>21</v>
      </c>
      <c r="F11" s="9" t="s">
        <v>146</v>
      </c>
      <c r="G11" s="9">
        <v>7</v>
      </c>
      <c r="H11" s="16" t="s">
        <v>36</v>
      </c>
      <c r="I11" s="16" t="s">
        <v>24</v>
      </c>
      <c r="J11" s="16" t="s">
        <v>142</v>
      </c>
      <c r="K11" s="9">
        <f t="shared" si="1"/>
        <v>500</v>
      </c>
      <c r="L11" s="9">
        <v>1</v>
      </c>
      <c r="M11" s="9">
        <v>0</v>
      </c>
      <c r="N11" s="9">
        <f t="shared" si="2"/>
        <v>15</v>
      </c>
      <c r="O11" s="9">
        <v>5</v>
      </c>
      <c r="P11" s="9">
        <v>5</v>
      </c>
      <c r="Q11" s="9">
        <f t="shared" si="0"/>
        <v>22</v>
      </c>
    </row>
    <row r="12" s="9" customFormat="1" customHeight="1" spans="3:17">
      <c r="C12" s="9">
        <v>210047</v>
      </c>
      <c r="D12" s="9">
        <v>1</v>
      </c>
      <c r="E12" s="9">
        <v>21</v>
      </c>
      <c r="F12" s="9" t="s">
        <v>147</v>
      </c>
      <c r="G12" s="9">
        <v>9</v>
      </c>
      <c r="H12" s="9">
        <v>9</v>
      </c>
      <c r="I12" s="16" t="s">
        <v>27</v>
      </c>
      <c r="J12" s="16" t="s">
        <v>142</v>
      </c>
      <c r="K12" s="9">
        <f t="shared" si="1"/>
        <v>500</v>
      </c>
      <c r="L12" s="9">
        <v>1</v>
      </c>
      <c r="M12" s="9">
        <v>0</v>
      </c>
      <c r="N12" s="9">
        <f t="shared" si="2"/>
        <v>15</v>
      </c>
      <c r="O12" s="9">
        <v>5</v>
      </c>
      <c r="P12" s="9">
        <v>5</v>
      </c>
      <c r="Q12" s="9">
        <f t="shared" si="0"/>
        <v>22</v>
      </c>
    </row>
    <row r="13" s="9" customFormat="1" customHeight="1" spans="3:17">
      <c r="C13" s="9">
        <v>210048</v>
      </c>
      <c r="D13" s="9">
        <v>1</v>
      </c>
      <c r="E13" s="9">
        <v>21</v>
      </c>
      <c r="F13" s="9" t="s">
        <v>148</v>
      </c>
      <c r="G13" s="9">
        <v>10</v>
      </c>
      <c r="H13" s="9">
        <v>10</v>
      </c>
      <c r="I13" s="16" t="s">
        <v>31</v>
      </c>
      <c r="J13" s="16" t="s">
        <v>144</v>
      </c>
      <c r="K13" s="9">
        <f t="shared" si="1"/>
        <v>500</v>
      </c>
      <c r="L13" s="9">
        <v>1</v>
      </c>
      <c r="M13" s="9">
        <v>0</v>
      </c>
      <c r="N13" s="9">
        <f t="shared" si="2"/>
        <v>15</v>
      </c>
      <c r="O13" s="9">
        <v>5</v>
      </c>
      <c r="P13" s="9">
        <v>5</v>
      </c>
      <c r="Q13" s="9">
        <f t="shared" si="0"/>
        <v>22</v>
      </c>
    </row>
    <row r="14" s="9" customFormat="1" customHeight="1" spans="3:17">
      <c r="C14" s="9">
        <v>220041</v>
      </c>
      <c r="D14" s="9">
        <v>1</v>
      </c>
      <c r="E14" s="9">
        <v>21</v>
      </c>
      <c r="F14" s="9" t="s">
        <v>149</v>
      </c>
      <c r="G14" s="9">
        <v>1</v>
      </c>
      <c r="H14" s="9">
        <v>1</v>
      </c>
      <c r="I14" s="16" t="s">
        <v>40</v>
      </c>
      <c r="J14" s="16" t="s">
        <v>139</v>
      </c>
      <c r="K14" s="9">
        <f>(E14-1)/5*300+300</f>
        <v>1500</v>
      </c>
      <c r="L14" s="9">
        <v>2</v>
      </c>
      <c r="M14" s="9">
        <v>0</v>
      </c>
      <c r="N14" s="9">
        <f>(E14-1)/5*3+1</f>
        <v>13</v>
      </c>
      <c r="O14" s="9">
        <v>5</v>
      </c>
      <c r="P14" s="9">
        <v>10</v>
      </c>
      <c r="Q14" s="9">
        <f t="shared" si="0"/>
        <v>22</v>
      </c>
    </row>
    <row r="15" s="9" customFormat="1" customHeight="1" spans="3:17">
      <c r="C15" s="9">
        <v>220042</v>
      </c>
      <c r="D15" s="9">
        <v>1</v>
      </c>
      <c r="E15" s="9">
        <v>21</v>
      </c>
      <c r="F15" s="9" t="s">
        <v>150</v>
      </c>
      <c r="G15" s="9">
        <v>2</v>
      </c>
      <c r="H15" s="9">
        <v>2</v>
      </c>
      <c r="I15" s="16" t="s">
        <v>27</v>
      </c>
      <c r="J15" s="16" t="s">
        <v>139</v>
      </c>
      <c r="K15" s="9">
        <f>(E15-1)/5*300+300</f>
        <v>1500</v>
      </c>
      <c r="L15" s="9">
        <v>2</v>
      </c>
      <c r="M15" s="9">
        <v>0</v>
      </c>
      <c r="N15" s="9">
        <f>(E15-1)/5*3+2</f>
        <v>14</v>
      </c>
      <c r="O15" s="9">
        <v>5</v>
      </c>
      <c r="P15" s="9">
        <v>10</v>
      </c>
      <c r="Q15" s="9">
        <f t="shared" si="0"/>
        <v>22</v>
      </c>
    </row>
    <row r="16" s="9" customFormat="1" customHeight="1" spans="3:17">
      <c r="C16" s="9">
        <v>220043</v>
      </c>
      <c r="D16" s="9">
        <v>1</v>
      </c>
      <c r="E16" s="9">
        <v>21</v>
      </c>
      <c r="F16" s="9" t="s">
        <v>151</v>
      </c>
      <c r="G16" s="9">
        <v>3</v>
      </c>
      <c r="H16" s="9">
        <v>3</v>
      </c>
      <c r="I16" s="16" t="s">
        <v>40</v>
      </c>
      <c r="J16" s="16" t="s">
        <v>142</v>
      </c>
      <c r="K16" s="9">
        <f t="shared" ref="K16:K21" si="3">(E16-1)/5*100+100</f>
        <v>500</v>
      </c>
      <c r="L16" s="9">
        <v>2</v>
      </c>
      <c r="M16" s="9">
        <v>0</v>
      </c>
      <c r="N16" s="9">
        <f t="shared" ref="N16:N21" si="4">(E16-1)/5*3+3</f>
        <v>15</v>
      </c>
      <c r="O16" s="9">
        <v>5</v>
      </c>
      <c r="P16" s="9">
        <v>5</v>
      </c>
      <c r="Q16" s="9">
        <f t="shared" si="0"/>
        <v>22</v>
      </c>
    </row>
    <row r="17" s="9" customFormat="1" customHeight="1" spans="3:17">
      <c r="C17" s="9">
        <v>220044</v>
      </c>
      <c r="D17" s="9">
        <v>1</v>
      </c>
      <c r="E17" s="9">
        <v>21</v>
      </c>
      <c r="F17" s="9" t="s">
        <v>152</v>
      </c>
      <c r="G17" s="9">
        <v>4</v>
      </c>
      <c r="H17" s="9">
        <v>4</v>
      </c>
      <c r="I17" s="16" t="s">
        <v>31</v>
      </c>
      <c r="J17" s="16" t="s">
        <v>144</v>
      </c>
      <c r="K17" s="9">
        <f t="shared" si="3"/>
        <v>500</v>
      </c>
      <c r="L17" s="9">
        <v>2</v>
      </c>
      <c r="M17" s="9">
        <v>0</v>
      </c>
      <c r="N17" s="9">
        <f t="shared" si="4"/>
        <v>15</v>
      </c>
      <c r="O17" s="9">
        <v>5</v>
      </c>
      <c r="P17" s="9">
        <v>5</v>
      </c>
      <c r="Q17" s="9">
        <f t="shared" si="0"/>
        <v>22</v>
      </c>
    </row>
    <row r="18" s="9" customFormat="1" customHeight="1" spans="3:17">
      <c r="C18" s="9">
        <v>220045</v>
      </c>
      <c r="D18" s="9">
        <v>1</v>
      </c>
      <c r="E18" s="9">
        <v>21</v>
      </c>
      <c r="F18" s="9" t="s">
        <v>153</v>
      </c>
      <c r="G18" s="9">
        <v>5</v>
      </c>
      <c r="H18" s="16" t="s">
        <v>34</v>
      </c>
      <c r="I18" s="16" t="s">
        <v>31</v>
      </c>
      <c r="J18" s="16" t="s">
        <v>144</v>
      </c>
      <c r="K18" s="9">
        <f t="shared" si="3"/>
        <v>500</v>
      </c>
      <c r="L18" s="9">
        <v>2</v>
      </c>
      <c r="M18" s="9">
        <v>0</v>
      </c>
      <c r="N18" s="9">
        <f t="shared" si="4"/>
        <v>15</v>
      </c>
      <c r="O18" s="9">
        <v>5</v>
      </c>
      <c r="P18" s="9">
        <v>5</v>
      </c>
      <c r="Q18" s="9">
        <f t="shared" si="0"/>
        <v>22</v>
      </c>
    </row>
    <row r="19" s="9" customFormat="1" customHeight="1" spans="3:17">
      <c r="C19" s="9">
        <v>220046</v>
      </c>
      <c r="D19" s="9">
        <v>1</v>
      </c>
      <c r="E19" s="9">
        <v>21</v>
      </c>
      <c r="F19" s="9" t="s">
        <v>154</v>
      </c>
      <c r="G19" s="9">
        <v>7</v>
      </c>
      <c r="H19" s="16" t="s">
        <v>36</v>
      </c>
      <c r="I19" s="16" t="s">
        <v>40</v>
      </c>
      <c r="J19" s="16" t="s">
        <v>142</v>
      </c>
      <c r="K19" s="9">
        <f t="shared" si="3"/>
        <v>500</v>
      </c>
      <c r="L19" s="9">
        <v>2</v>
      </c>
      <c r="M19" s="9">
        <v>0</v>
      </c>
      <c r="N19" s="9">
        <f t="shared" si="4"/>
        <v>15</v>
      </c>
      <c r="O19" s="9">
        <v>5</v>
      </c>
      <c r="P19" s="9">
        <v>5</v>
      </c>
      <c r="Q19" s="9">
        <f t="shared" si="0"/>
        <v>22</v>
      </c>
    </row>
    <row r="20" s="9" customFormat="1" customHeight="1" spans="3:17">
      <c r="C20" s="9">
        <v>220047</v>
      </c>
      <c r="D20" s="9">
        <v>1</v>
      </c>
      <c r="E20" s="9">
        <v>21</v>
      </c>
      <c r="F20" s="9" t="s">
        <v>155</v>
      </c>
      <c r="G20" s="9">
        <v>9</v>
      </c>
      <c r="H20" s="9">
        <v>9</v>
      </c>
      <c r="I20" s="16" t="s">
        <v>27</v>
      </c>
      <c r="J20" s="16" t="s">
        <v>142</v>
      </c>
      <c r="K20" s="9">
        <f t="shared" si="3"/>
        <v>500</v>
      </c>
      <c r="L20" s="9">
        <v>2</v>
      </c>
      <c r="M20" s="9">
        <v>0</v>
      </c>
      <c r="N20" s="9">
        <f t="shared" si="4"/>
        <v>15</v>
      </c>
      <c r="O20" s="9">
        <v>5</v>
      </c>
      <c r="P20" s="9">
        <v>5</v>
      </c>
      <c r="Q20" s="9">
        <f t="shared" si="0"/>
        <v>22</v>
      </c>
    </row>
    <row r="21" s="9" customFormat="1" customHeight="1" spans="3:17">
      <c r="C21" s="9">
        <v>220048</v>
      </c>
      <c r="D21" s="9">
        <v>1</v>
      </c>
      <c r="E21" s="9">
        <v>21</v>
      </c>
      <c r="F21" s="9" t="s">
        <v>156</v>
      </c>
      <c r="G21" s="9">
        <v>10</v>
      </c>
      <c r="H21" s="9">
        <v>10</v>
      </c>
      <c r="I21" s="16" t="s">
        <v>31</v>
      </c>
      <c r="J21" s="16" t="s">
        <v>144</v>
      </c>
      <c r="K21" s="9">
        <f t="shared" si="3"/>
        <v>500</v>
      </c>
      <c r="L21" s="9">
        <v>2</v>
      </c>
      <c r="M21" s="9">
        <v>0</v>
      </c>
      <c r="N21" s="9">
        <f t="shared" si="4"/>
        <v>15</v>
      </c>
      <c r="O21" s="9">
        <v>5</v>
      </c>
      <c r="P21" s="9">
        <v>5</v>
      </c>
      <c r="Q21" s="9">
        <f t="shared" si="0"/>
        <v>22</v>
      </c>
    </row>
    <row r="22" s="9" customFormat="1" customHeight="1" spans="3:17">
      <c r="C22" s="9">
        <v>230041</v>
      </c>
      <c r="D22" s="9">
        <v>1</v>
      </c>
      <c r="E22" s="9">
        <v>21</v>
      </c>
      <c r="F22" s="9" t="s">
        <v>157</v>
      </c>
      <c r="G22" s="9">
        <v>1</v>
      </c>
      <c r="H22" s="9">
        <v>1</v>
      </c>
      <c r="I22" s="16" t="s">
        <v>49</v>
      </c>
      <c r="J22" s="16" t="s">
        <v>139</v>
      </c>
      <c r="K22" s="9">
        <f>(E22-1)/5*300+300</f>
        <v>1500</v>
      </c>
      <c r="L22" s="9">
        <v>3</v>
      </c>
      <c r="M22" s="9">
        <v>0</v>
      </c>
      <c r="N22" s="9">
        <f>(E22-1)/5*3+1</f>
        <v>13</v>
      </c>
      <c r="O22" s="9">
        <v>5</v>
      </c>
      <c r="P22" s="9">
        <v>10</v>
      </c>
      <c r="Q22" s="9">
        <f t="shared" si="0"/>
        <v>22</v>
      </c>
    </row>
    <row r="23" s="9" customFormat="1" customHeight="1" spans="3:17">
      <c r="C23" s="9">
        <v>230042</v>
      </c>
      <c r="D23" s="9">
        <v>1</v>
      </c>
      <c r="E23" s="9">
        <v>21</v>
      </c>
      <c r="F23" s="9" t="s">
        <v>158</v>
      </c>
      <c r="G23" s="9">
        <v>2</v>
      </c>
      <c r="H23" s="9">
        <v>2</v>
      </c>
      <c r="I23" s="16" t="s">
        <v>27</v>
      </c>
      <c r="J23" s="16" t="s">
        <v>139</v>
      </c>
      <c r="K23" s="9">
        <f>(E23-1)/5*300+300</f>
        <v>1500</v>
      </c>
      <c r="L23" s="9">
        <v>3</v>
      </c>
      <c r="M23" s="9">
        <v>0</v>
      </c>
      <c r="N23" s="9">
        <f>(E23-1)/5*3+2</f>
        <v>14</v>
      </c>
      <c r="O23" s="9">
        <v>5</v>
      </c>
      <c r="P23" s="9">
        <v>10</v>
      </c>
      <c r="Q23" s="9">
        <f t="shared" si="0"/>
        <v>22</v>
      </c>
    </row>
    <row r="24" s="9" customFormat="1" customHeight="1" spans="3:17">
      <c r="C24" s="9">
        <v>230043</v>
      </c>
      <c r="D24" s="9">
        <v>1</v>
      </c>
      <c r="E24" s="9">
        <v>21</v>
      </c>
      <c r="F24" s="9" t="s">
        <v>159</v>
      </c>
      <c r="G24" s="9">
        <v>3</v>
      </c>
      <c r="H24" s="9">
        <v>3</v>
      </c>
      <c r="I24" s="16" t="s">
        <v>49</v>
      </c>
      <c r="J24" s="16" t="s">
        <v>142</v>
      </c>
      <c r="K24" s="9">
        <f t="shared" ref="K24:K29" si="5">(E24-1)/5*100+100</f>
        <v>500</v>
      </c>
      <c r="L24" s="9">
        <v>3</v>
      </c>
      <c r="M24" s="9">
        <v>0</v>
      </c>
      <c r="N24" s="9">
        <f t="shared" ref="N24:N29" si="6">(E24-1)/5*3+3</f>
        <v>15</v>
      </c>
      <c r="O24" s="9">
        <v>5</v>
      </c>
      <c r="P24" s="9">
        <v>5</v>
      </c>
      <c r="Q24" s="9">
        <f t="shared" si="0"/>
        <v>22</v>
      </c>
    </row>
    <row r="25" s="9" customFormat="1" customHeight="1" spans="3:17">
      <c r="C25" s="9">
        <v>230044</v>
      </c>
      <c r="D25" s="9">
        <v>1</v>
      </c>
      <c r="E25" s="9">
        <v>21</v>
      </c>
      <c r="F25" s="9" t="s">
        <v>160</v>
      </c>
      <c r="G25" s="9">
        <v>4</v>
      </c>
      <c r="H25" s="9">
        <v>4</v>
      </c>
      <c r="I25" s="16" t="s">
        <v>31</v>
      </c>
      <c r="J25" s="16" t="s">
        <v>144</v>
      </c>
      <c r="K25" s="9">
        <f t="shared" si="5"/>
        <v>500</v>
      </c>
      <c r="L25" s="9">
        <v>3</v>
      </c>
      <c r="M25" s="9">
        <v>0</v>
      </c>
      <c r="N25" s="9">
        <f t="shared" si="6"/>
        <v>15</v>
      </c>
      <c r="O25" s="9">
        <v>5</v>
      </c>
      <c r="P25" s="9">
        <v>5</v>
      </c>
      <c r="Q25" s="9">
        <f t="shared" si="0"/>
        <v>22</v>
      </c>
    </row>
    <row r="26" s="9" customFormat="1" customHeight="1" spans="3:17">
      <c r="C26" s="9">
        <v>230045</v>
      </c>
      <c r="D26" s="9">
        <v>1</v>
      </c>
      <c r="E26" s="9">
        <v>21</v>
      </c>
      <c r="F26" s="9" t="s">
        <v>161</v>
      </c>
      <c r="G26" s="9">
        <v>5</v>
      </c>
      <c r="H26" s="16" t="s">
        <v>34</v>
      </c>
      <c r="I26" s="16" t="s">
        <v>31</v>
      </c>
      <c r="J26" s="16" t="s">
        <v>144</v>
      </c>
      <c r="K26" s="9">
        <f t="shared" si="5"/>
        <v>500</v>
      </c>
      <c r="L26" s="9">
        <v>3</v>
      </c>
      <c r="M26" s="9">
        <v>0</v>
      </c>
      <c r="N26" s="9">
        <f t="shared" si="6"/>
        <v>15</v>
      </c>
      <c r="O26" s="9">
        <v>5</v>
      </c>
      <c r="P26" s="9">
        <v>5</v>
      </c>
      <c r="Q26" s="9">
        <f t="shared" si="0"/>
        <v>22</v>
      </c>
    </row>
    <row r="27" s="9" customFormat="1" customHeight="1" spans="3:17">
      <c r="C27" s="9">
        <v>230046</v>
      </c>
      <c r="D27" s="9">
        <v>1</v>
      </c>
      <c r="E27" s="9">
        <v>21</v>
      </c>
      <c r="F27" s="9" t="s">
        <v>162</v>
      </c>
      <c r="G27" s="9">
        <v>7</v>
      </c>
      <c r="H27" s="16" t="s">
        <v>36</v>
      </c>
      <c r="I27" s="16" t="s">
        <v>49</v>
      </c>
      <c r="J27" s="16" t="s">
        <v>142</v>
      </c>
      <c r="K27" s="9">
        <f t="shared" si="5"/>
        <v>500</v>
      </c>
      <c r="L27" s="9">
        <v>3</v>
      </c>
      <c r="M27" s="9">
        <v>0</v>
      </c>
      <c r="N27" s="9">
        <f t="shared" si="6"/>
        <v>15</v>
      </c>
      <c r="O27" s="9">
        <v>5</v>
      </c>
      <c r="P27" s="9">
        <v>5</v>
      </c>
      <c r="Q27" s="9">
        <f t="shared" si="0"/>
        <v>22</v>
      </c>
    </row>
    <row r="28" s="9" customFormat="1" customHeight="1" spans="3:17">
      <c r="C28" s="9">
        <v>230047</v>
      </c>
      <c r="D28" s="9">
        <v>1</v>
      </c>
      <c r="E28" s="9">
        <v>21</v>
      </c>
      <c r="F28" s="9" t="s">
        <v>163</v>
      </c>
      <c r="G28" s="9">
        <v>9</v>
      </c>
      <c r="H28" s="9">
        <v>9</v>
      </c>
      <c r="I28" s="16" t="s">
        <v>27</v>
      </c>
      <c r="J28" s="16" t="s">
        <v>142</v>
      </c>
      <c r="K28" s="9">
        <f t="shared" si="5"/>
        <v>500</v>
      </c>
      <c r="L28" s="9">
        <v>3</v>
      </c>
      <c r="M28" s="9">
        <v>0</v>
      </c>
      <c r="N28" s="9">
        <f t="shared" si="6"/>
        <v>15</v>
      </c>
      <c r="O28" s="9">
        <v>5</v>
      </c>
      <c r="P28" s="9">
        <v>5</v>
      </c>
      <c r="Q28" s="9">
        <f t="shared" si="0"/>
        <v>22</v>
      </c>
    </row>
    <row r="29" s="9" customFormat="1" customHeight="1" spans="3:17">
      <c r="C29" s="9">
        <v>230048</v>
      </c>
      <c r="D29" s="9">
        <v>1</v>
      </c>
      <c r="E29" s="9">
        <v>21</v>
      </c>
      <c r="F29" s="9" t="s">
        <v>164</v>
      </c>
      <c r="G29" s="9">
        <v>10</v>
      </c>
      <c r="H29" s="9">
        <v>10</v>
      </c>
      <c r="I29" s="16" t="s">
        <v>31</v>
      </c>
      <c r="J29" s="16" t="s">
        <v>144</v>
      </c>
      <c r="K29" s="9">
        <f t="shared" si="5"/>
        <v>500</v>
      </c>
      <c r="L29" s="9">
        <v>3</v>
      </c>
      <c r="M29" s="9">
        <v>0</v>
      </c>
      <c r="N29" s="9">
        <f t="shared" si="6"/>
        <v>15</v>
      </c>
      <c r="O29" s="9">
        <v>5</v>
      </c>
      <c r="P29" s="9">
        <v>5</v>
      </c>
      <c r="Q29" s="9">
        <f t="shared" si="0"/>
        <v>22</v>
      </c>
    </row>
    <row r="31" s="9" customFormat="1" customHeight="1" spans="3:17">
      <c r="C31" s="9">
        <v>210051</v>
      </c>
      <c r="D31" s="9">
        <v>1</v>
      </c>
      <c r="E31" s="9">
        <v>26</v>
      </c>
      <c r="F31" s="9" t="s">
        <v>165</v>
      </c>
      <c r="G31" s="9">
        <v>1</v>
      </c>
      <c r="H31" s="9">
        <v>1</v>
      </c>
      <c r="I31" s="16" t="s">
        <v>24</v>
      </c>
      <c r="J31" s="16" t="s">
        <v>166</v>
      </c>
      <c r="K31" s="9">
        <f>(E31-1)/5*300+300</f>
        <v>1800</v>
      </c>
      <c r="L31" s="9">
        <v>1</v>
      </c>
      <c r="M31" s="9">
        <v>0</v>
      </c>
      <c r="N31" s="9">
        <f>(E31-1)/5*3+1</f>
        <v>16</v>
      </c>
      <c r="O31" s="9">
        <v>5</v>
      </c>
      <c r="P31" s="9">
        <v>12</v>
      </c>
      <c r="Q31" s="9">
        <f t="shared" ref="Q31:Q54" si="7">(E31-1)/5*3+10</f>
        <v>25</v>
      </c>
    </row>
    <row r="32" s="9" customFormat="1" customHeight="1" spans="3:17">
      <c r="C32" s="9">
        <v>210052</v>
      </c>
      <c r="D32" s="9">
        <v>1</v>
      </c>
      <c r="E32" s="9">
        <v>26</v>
      </c>
      <c r="F32" s="9" t="s">
        <v>167</v>
      </c>
      <c r="G32" s="9">
        <v>2</v>
      </c>
      <c r="H32" s="9">
        <v>2</v>
      </c>
      <c r="I32" s="16" t="s">
        <v>27</v>
      </c>
      <c r="J32" s="16" t="s">
        <v>166</v>
      </c>
      <c r="K32" s="9">
        <f>(E32-1)/5*300+300</f>
        <v>1800</v>
      </c>
      <c r="L32" s="9">
        <v>1</v>
      </c>
      <c r="M32" s="9">
        <v>0</v>
      </c>
      <c r="N32" s="9">
        <f>(E32-1)/5*3+2</f>
        <v>17</v>
      </c>
      <c r="O32" s="9">
        <v>5</v>
      </c>
      <c r="P32" s="9">
        <v>12</v>
      </c>
      <c r="Q32" s="9">
        <f t="shared" si="7"/>
        <v>25</v>
      </c>
    </row>
    <row r="33" s="9" customFormat="1" customHeight="1" spans="3:17">
      <c r="C33" s="9">
        <v>210053</v>
      </c>
      <c r="D33" s="9">
        <v>1</v>
      </c>
      <c r="E33" s="9">
        <v>26</v>
      </c>
      <c r="F33" s="9" t="s">
        <v>168</v>
      </c>
      <c r="G33" s="9">
        <v>3</v>
      </c>
      <c r="H33" s="9">
        <v>3</v>
      </c>
      <c r="I33" s="16" t="s">
        <v>24</v>
      </c>
      <c r="J33" s="16" t="s">
        <v>169</v>
      </c>
      <c r="K33" s="9">
        <f t="shared" ref="K33:K38" si="8">(E33-1)/5*100+100</f>
        <v>600</v>
      </c>
      <c r="L33" s="9">
        <v>1</v>
      </c>
      <c r="M33" s="9">
        <v>0</v>
      </c>
      <c r="N33" s="9">
        <f t="shared" ref="N33:N38" si="9">(E33-1)/5*3+3</f>
        <v>18</v>
      </c>
      <c r="O33" s="9">
        <v>5</v>
      </c>
      <c r="P33" s="9">
        <v>6</v>
      </c>
      <c r="Q33" s="9">
        <f t="shared" si="7"/>
        <v>25</v>
      </c>
    </row>
    <row r="34" s="9" customFormat="1" customHeight="1" spans="3:17">
      <c r="C34" s="9">
        <v>210054</v>
      </c>
      <c r="D34" s="9">
        <v>1</v>
      </c>
      <c r="E34" s="9">
        <v>26</v>
      </c>
      <c r="F34" s="9" t="s">
        <v>170</v>
      </c>
      <c r="G34" s="9">
        <v>4</v>
      </c>
      <c r="H34" s="9">
        <v>4</v>
      </c>
      <c r="I34" s="16" t="s">
        <v>31</v>
      </c>
      <c r="J34" s="16" t="s">
        <v>171</v>
      </c>
      <c r="K34" s="9">
        <f t="shared" si="8"/>
        <v>600</v>
      </c>
      <c r="L34" s="9">
        <v>1</v>
      </c>
      <c r="M34" s="9">
        <v>0</v>
      </c>
      <c r="N34" s="9">
        <f t="shared" si="9"/>
        <v>18</v>
      </c>
      <c r="O34" s="9">
        <v>5</v>
      </c>
      <c r="P34" s="9">
        <v>6</v>
      </c>
      <c r="Q34" s="9">
        <f t="shared" si="7"/>
        <v>25</v>
      </c>
    </row>
    <row r="35" s="9" customFormat="1" customHeight="1" spans="3:17">
      <c r="C35" s="9">
        <v>210055</v>
      </c>
      <c r="D35" s="9">
        <v>1</v>
      </c>
      <c r="E35" s="9">
        <v>26</v>
      </c>
      <c r="F35" s="9" t="s">
        <v>172</v>
      </c>
      <c r="G35" s="9">
        <v>5</v>
      </c>
      <c r="H35" s="16" t="s">
        <v>34</v>
      </c>
      <c r="I35" s="16" t="s">
        <v>31</v>
      </c>
      <c r="J35" s="16" t="s">
        <v>171</v>
      </c>
      <c r="K35" s="9">
        <f t="shared" si="8"/>
        <v>600</v>
      </c>
      <c r="L35" s="9">
        <v>1</v>
      </c>
      <c r="M35" s="9">
        <v>0</v>
      </c>
      <c r="N35" s="9">
        <f t="shared" si="9"/>
        <v>18</v>
      </c>
      <c r="O35" s="9">
        <v>5</v>
      </c>
      <c r="P35" s="9">
        <v>6</v>
      </c>
      <c r="Q35" s="9">
        <f t="shared" si="7"/>
        <v>25</v>
      </c>
    </row>
    <row r="36" s="9" customFormat="1" customHeight="1" spans="3:17">
      <c r="C36" s="9">
        <v>210056</v>
      </c>
      <c r="D36" s="9">
        <v>1</v>
      </c>
      <c r="E36" s="9">
        <v>26</v>
      </c>
      <c r="F36" s="9" t="s">
        <v>173</v>
      </c>
      <c r="G36" s="9">
        <v>7</v>
      </c>
      <c r="H36" s="16" t="s">
        <v>36</v>
      </c>
      <c r="I36" s="16" t="s">
        <v>24</v>
      </c>
      <c r="J36" s="16" t="s">
        <v>169</v>
      </c>
      <c r="K36" s="9">
        <f t="shared" si="8"/>
        <v>600</v>
      </c>
      <c r="L36" s="9">
        <v>1</v>
      </c>
      <c r="M36" s="9">
        <v>0</v>
      </c>
      <c r="N36" s="9">
        <f t="shared" si="9"/>
        <v>18</v>
      </c>
      <c r="O36" s="9">
        <v>5</v>
      </c>
      <c r="P36" s="9">
        <v>6</v>
      </c>
      <c r="Q36" s="9">
        <f t="shared" si="7"/>
        <v>25</v>
      </c>
    </row>
    <row r="37" s="9" customFormat="1" customHeight="1" spans="3:17">
      <c r="C37" s="9">
        <v>210057</v>
      </c>
      <c r="D37" s="9">
        <v>1</v>
      </c>
      <c r="E37" s="9">
        <v>26</v>
      </c>
      <c r="F37" s="9" t="s">
        <v>174</v>
      </c>
      <c r="G37" s="9">
        <v>9</v>
      </c>
      <c r="H37" s="9">
        <v>9</v>
      </c>
      <c r="I37" s="16" t="s">
        <v>27</v>
      </c>
      <c r="J37" s="16" t="s">
        <v>169</v>
      </c>
      <c r="K37" s="9">
        <f t="shared" si="8"/>
        <v>600</v>
      </c>
      <c r="L37" s="9">
        <v>1</v>
      </c>
      <c r="M37" s="9">
        <v>0</v>
      </c>
      <c r="N37" s="9">
        <f t="shared" si="9"/>
        <v>18</v>
      </c>
      <c r="O37" s="9">
        <v>5</v>
      </c>
      <c r="P37" s="9">
        <v>6</v>
      </c>
      <c r="Q37" s="9">
        <f t="shared" si="7"/>
        <v>25</v>
      </c>
    </row>
    <row r="38" s="12" customFormat="1" customHeight="1" spans="3:17">
      <c r="C38" s="9">
        <v>210058</v>
      </c>
      <c r="D38" s="9">
        <v>1</v>
      </c>
      <c r="E38" s="9">
        <v>26</v>
      </c>
      <c r="F38" s="9" t="s">
        <v>175</v>
      </c>
      <c r="G38" s="9">
        <v>10</v>
      </c>
      <c r="H38" s="9">
        <v>10</v>
      </c>
      <c r="I38" s="16" t="s">
        <v>31</v>
      </c>
      <c r="J38" s="16" t="s">
        <v>171</v>
      </c>
      <c r="K38" s="9">
        <f t="shared" si="8"/>
        <v>600</v>
      </c>
      <c r="L38" s="9">
        <v>1</v>
      </c>
      <c r="M38" s="9">
        <v>0</v>
      </c>
      <c r="N38" s="9">
        <f t="shared" si="9"/>
        <v>18</v>
      </c>
      <c r="O38" s="9">
        <v>5</v>
      </c>
      <c r="P38" s="9">
        <v>6</v>
      </c>
      <c r="Q38" s="9">
        <f t="shared" si="7"/>
        <v>25</v>
      </c>
    </row>
    <row r="39" s="12" customFormat="1" customHeight="1" spans="3:17">
      <c r="C39" s="9">
        <v>220051</v>
      </c>
      <c r="D39" s="9">
        <v>1</v>
      </c>
      <c r="E39" s="9">
        <v>26</v>
      </c>
      <c r="F39" s="9" t="s">
        <v>176</v>
      </c>
      <c r="G39" s="9">
        <v>1</v>
      </c>
      <c r="H39" s="9">
        <v>1</v>
      </c>
      <c r="I39" s="16" t="s">
        <v>40</v>
      </c>
      <c r="J39" s="16" t="s">
        <v>166</v>
      </c>
      <c r="K39" s="9">
        <f>(E39-1)/5*300+300</f>
        <v>1800</v>
      </c>
      <c r="L39" s="9">
        <v>2</v>
      </c>
      <c r="M39" s="9">
        <v>0</v>
      </c>
      <c r="N39" s="9">
        <f>(E39-1)/5*3+1</f>
        <v>16</v>
      </c>
      <c r="O39" s="9">
        <v>5</v>
      </c>
      <c r="P39" s="9">
        <v>12</v>
      </c>
      <c r="Q39" s="9">
        <f t="shared" si="7"/>
        <v>25</v>
      </c>
    </row>
    <row r="40" s="12" customFormat="1" customHeight="1" spans="3:17">
      <c r="C40" s="9">
        <v>220052</v>
      </c>
      <c r="D40" s="9">
        <v>1</v>
      </c>
      <c r="E40" s="9">
        <v>26</v>
      </c>
      <c r="F40" s="9" t="s">
        <v>177</v>
      </c>
      <c r="G40" s="9">
        <v>2</v>
      </c>
      <c r="H40" s="9">
        <v>2</v>
      </c>
      <c r="I40" s="16" t="s">
        <v>27</v>
      </c>
      <c r="J40" s="16" t="s">
        <v>166</v>
      </c>
      <c r="K40" s="9">
        <f>(E40-1)/5*300+300</f>
        <v>1800</v>
      </c>
      <c r="L40" s="9">
        <v>2</v>
      </c>
      <c r="M40" s="9">
        <v>0</v>
      </c>
      <c r="N40" s="9">
        <f>(E40-1)/5*3+2</f>
        <v>17</v>
      </c>
      <c r="O40" s="9">
        <v>5</v>
      </c>
      <c r="P40" s="9">
        <v>12</v>
      </c>
      <c r="Q40" s="9">
        <f t="shared" si="7"/>
        <v>25</v>
      </c>
    </row>
    <row r="41" s="12" customFormat="1" customHeight="1" spans="3:17">
      <c r="C41" s="9">
        <v>220053</v>
      </c>
      <c r="D41" s="9">
        <v>1</v>
      </c>
      <c r="E41" s="9">
        <v>26</v>
      </c>
      <c r="F41" s="9" t="s">
        <v>178</v>
      </c>
      <c r="G41" s="9">
        <v>3</v>
      </c>
      <c r="H41" s="9">
        <v>3</v>
      </c>
      <c r="I41" s="16" t="s">
        <v>40</v>
      </c>
      <c r="J41" s="16" t="s">
        <v>169</v>
      </c>
      <c r="K41" s="9">
        <f t="shared" ref="K41:K46" si="10">(E41-1)/5*100+100</f>
        <v>600</v>
      </c>
      <c r="L41" s="9">
        <v>2</v>
      </c>
      <c r="M41" s="9">
        <v>0</v>
      </c>
      <c r="N41" s="9">
        <f t="shared" ref="N41:N46" si="11">(E41-1)/5*3+3</f>
        <v>18</v>
      </c>
      <c r="O41" s="9">
        <v>5</v>
      </c>
      <c r="P41" s="9">
        <v>6</v>
      </c>
      <c r="Q41" s="9">
        <f t="shared" si="7"/>
        <v>25</v>
      </c>
    </row>
    <row r="42" s="12" customFormat="1" customHeight="1" spans="3:17">
      <c r="C42" s="9">
        <v>220054</v>
      </c>
      <c r="D42" s="9">
        <v>1</v>
      </c>
      <c r="E42" s="9">
        <v>26</v>
      </c>
      <c r="F42" s="9" t="s">
        <v>179</v>
      </c>
      <c r="G42" s="9">
        <v>4</v>
      </c>
      <c r="H42" s="9">
        <v>4</v>
      </c>
      <c r="I42" s="16" t="s">
        <v>31</v>
      </c>
      <c r="J42" s="16" t="s">
        <v>171</v>
      </c>
      <c r="K42" s="9">
        <f t="shared" si="10"/>
        <v>600</v>
      </c>
      <c r="L42" s="9">
        <v>2</v>
      </c>
      <c r="M42" s="9">
        <v>0</v>
      </c>
      <c r="N42" s="9">
        <f t="shared" si="11"/>
        <v>18</v>
      </c>
      <c r="O42" s="9">
        <v>5</v>
      </c>
      <c r="P42" s="9">
        <v>6</v>
      </c>
      <c r="Q42" s="9">
        <f t="shared" si="7"/>
        <v>25</v>
      </c>
    </row>
    <row r="43" s="12" customFormat="1" customHeight="1" spans="3:17">
      <c r="C43" s="9">
        <v>220055</v>
      </c>
      <c r="D43" s="9">
        <v>1</v>
      </c>
      <c r="E43" s="9">
        <v>26</v>
      </c>
      <c r="F43" s="9" t="s">
        <v>180</v>
      </c>
      <c r="G43" s="9">
        <v>5</v>
      </c>
      <c r="H43" s="16" t="s">
        <v>34</v>
      </c>
      <c r="I43" s="16" t="s">
        <v>31</v>
      </c>
      <c r="J43" s="16" t="s">
        <v>171</v>
      </c>
      <c r="K43" s="9">
        <f t="shared" si="10"/>
        <v>600</v>
      </c>
      <c r="L43" s="9">
        <v>2</v>
      </c>
      <c r="M43" s="9">
        <v>0</v>
      </c>
      <c r="N43" s="9">
        <f t="shared" si="11"/>
        <v>18</v>
      </c>
      <c r="O43" s="9">
        <v>5</v>
      </c>
      <c r="P43" s="9">
        <v>6</v>
      </c>
      <c r="Q43" s="9">
        <f t="shared" si="7"/>
        <v>25</v>
      </c>
    </row>
    <row r="44" s="12" customFormat="1" customHeight="1" spans="3:17">
      <c r="C44" s="9">
        <v>220056</v>
      </c>
      <c r="D44" s="9">
        <v>1</v>
      </c>
      <c r="E44" s="9">
        <v>26</v>
      </c>
      <c r="F44" s="9" t="s">
        <v>181</v>
      </c>
      <c r="G44" s="9">
        <v>7</v>
      </c>
      <c r="H44" s="16" t="s">
        <v>36</v>
      </c>
      <c r="I44" s="16" t="s">
        <v>40</v>
      </c>
      <c r="J44" s="16" t="s">
        <v>169</v>
      </c>
      <c r="K44" s="9">
        <f t="shared" si="10"/>
        <v>600</v>
      </c>
      <c r="L44" s="9">
        <v>2</v>
      </c>
      <c r="M44" s="9">
        <v>0</v>
      </c>
      <c r="N44" s="9">
        <f t="shared" si="11"/>
        <v>18</v>
      </c>
      <c r="O44" s="9">
        <v>5</v>
      </c>
      <c r="P44" s="9">
        <v>6</v>
      </c>
      <c r="Q44" s="9">
        <f t="shared" si="7"/>
        <v>25</v>
      </c>
    </row>
    <row r="45" s="12" customFormat="1" customHeight="1" spans="3:17">
      <c r="C45" s="9">
        <v>220057</v>
      </c>
      <c r="D45" s="9">
        <v>1</v>
      </c>
      <c r="E45" s="9">
        <v>26</v>
      </c>
      <c r="F45" s="9" t="s">
        <v>182</v>
      </c>
      <c r="G45" s="9">
        <v>9</v>
      </c>
      <c r="H45" s="9">
        <v>9</v>
      </c>
      <c r="I45" s="16" t="s">
        <v>27</v>
      </c>
      <c r="J45" s="16" t="s">
        <v>169</v>
      </c>
      <c r="K45" s="9">
        <f t="shared" si="10"/>
        <v>600</v>
      </c>
      <c r="L45" s="9">
        <v>2</v>
      </c>
      <c r="M45" s="9">
        <v>0</v>
      </c>
      <c r="N45" s="9">
        <f t="shared" si="11"/>
        <v>18</v>
      </c>
      <c r="O45" s="9">
        <v>5</v>
      </c>
      <c r="P45" s="9">
        <v>6</v>
      </c>
      <c r="Q45" s="9">
        <f t="shared" si="7"/>
        <v>25</v>
      </c>
    </row>
    <row r="46" s="12" customFormat="1" customHeight="1" spans="3:17">
      <c r="C46" s="9">
        <v>220058</v>
      </c>
      <c r="D46" s="9">
        <v>1</v>
      </c>
      <c r="E46" s="9">
        <v>26</v>
      </c>
      <c r="F46" s="9" t="s">
        <v>183</v>
      </c>
      <c r="G46" s="9">
        <v>10</v>
      </c>
      <c r="H46" s="9">
        <v>10</v>
      </c>
      <c r="I46" s="16" t="s">
        <v>31</v>
      </c>
      <c r="J46" s="16" t="s">
        <v>171</v>
      </c>
      <c r="K46" s="9">
        <f t="shared" si="10"/>
        <v>600</v>
      </c>
      <c r="L46" s="9">
        <v>2</v>
      </c>
      <c r="M46" s="9">
        <v>0</v>
      </c>
      <c r="N46" s="9">
        <f t="shared" si="11"/>
        <v>18</v>
      </c>
      <c r="O46" s="9">
        <v>5</v>
      </c>
      <c r="P46" s="9">
        <v>6</v>
      </c>
      <c r="Q46" s="9">
        <f t="shared" si="7"/>
        <v>25</v>
      </c>
    </row>
    <row r="47" s="12" customFormat="1" customHeight="1" spans="3:17">
      <c r="C47" s="9">
        <v>230051</v>
      </c>
      <c r="D47" s="9">
        <v>1</v>
      </c>
      <c r="E47" s="9">
        <v>26</v>
      </c>
      <c r="F47" s="9" t="s">
        <v>184</v>
      </c>
      <c r="G47" s="9">
        <v>1</v>
      </c>
      <c r="H47" s="9">
        <v>1</v>
      </c>
      <c r="I47" s="16" t="s">
        <v>49</v>
      </c>
      <c r="J47" s="16" t="s">
        <v>166</v>
      </c>
      <c r="K47" s="9">
        <f>(E47-1)/5*300+300</f>
        <v>1800</v>
      </c>
      <c r="L47" s="9">
        <v>3</v>
      </c>
      <c r="M47" s="9">
        <v>0</v>
      </c>
      <c r="N47" s="9">
        <f>(E47-1)/5*3+1</f>
        <v>16</v>
      </c>
      <c r="O47" s="9">
        <v>5</v>
      </c>
      <c r="P47" s="9">
        <v>12</v>
      </c>
      <c r="Q47" s="9">
        <f t="shared" si="7"/>
        <v>25</v>
      </c>
    </row>
    <row r="48" s="12" customFormat="1" customHeight="1" spans="3:17">
      <c r="C48" s="9">
        <v>230052</v>
      </c>
      <c r="D48" s="9">
        <v>1</v>
      </c>
      <c r="E48" s="9">
        <v>26</v>
      </c>
      <c r="F48" s="9" t="s">
        <v>185</v>
      </c>
      <c r="G48" s="9">
        <v>2</v>
      </c>
      <c r="H48" s="9">
        <v>2</v>
      </c>
      <c r="I48" s="16" t="s">
        <v>27</v>
      </c>
      <c r="J48" s="16" t="s">
        <v>166</v>
      </c>
      <c r="K48" s="9">
        <f>(E48-1)/5*300+300</f>
        <v>1800</v>
      </c>
      <c r="L48" s="9">
        <v>3</v>
      </c>
      <c r="M48" s="9">
        <v>0</v>
      </c>
      <c r="N48" s="9">
        <f>(E48-1)/5*3+2</f>
        <v>17</v>
      </c>
      <c r="O48" s="9">
        <v>5</v>
      </c>
      <c r="P48" s="9">
        <v>12</v>
      </c>
      <c r="Q48" s="9">
        <f t="shared" si="7"/>
        <v>25</v>
      </c>
    </row>
    <row r="49" s="12" customFormat="1" customHeight="1" spans="3:17">
      <c r="C49" s="9">
        <v>230053</v>
      </c>
      <c r="D49" s="9">
        <v>1</v>
      </c>
      <c r="E49" s="9">
        <v>26</v>
      </c>
      <c r="F49" s="9" t="s">
        <v>186</v>
      </c>
      <c r="G49" s="9">
        <v>3</v>
      </c>
      <c r="H49" s="9">
        <v>3</v>
      </c>
      <c r="I49" s="16" t="s">
        <v>49</v>
      </c>
      <c r="J49" s="16" t="s">
        <v>169</v>
      </c>
      <c r="K49" s="9">
        <f t="shared" ref="K49:K54" si="12">(E49-1)/5*100+100</f>
        <v>600</v>
      </c>
      <c r="L49" s="9">
        <v>3</v>
      </c>
      <c r="M49" s="9">
        <v>0</v>
      </c>
      <c r="N49" s="9">
        <f t="shared" ref="N49:N54" si="13">(E49-1)/5*3+3</f>
        <v>18</v>
      </c>
      <c r="O49" s="9">
        <v>5</v>
      </c>
      <c r="P49" s="9">
        <v>6</v>
      </c>
      <c r="Q49" s="9">
        <f t="shared" si="7"/>
        <v>25</v>
      </c>
    </row>
    <row r="50" s="12" customFormat="1" customHeight="1" spans="3:17">
      <c r="C50" s="9">
        <v>230054</v>
      </c>
      <c r="D50" s="9">
        <v>1</v>
      </c>
      <c r="E50" s="9">
        <v>26</v>
      </c>
      <c r="F50" s="9" t="s">
        <v>187</v>
      </c>
      <c r="G50" s="9">
        <v>4</v>
      </c>
      <c r="H50" s="9">
        <v>4</v>
      </c>
      <c r="I50" s="16" t="s">
        <v>31</v>
      </c>
      <c r="J50" s="16" t="s">
        <v>171</v>
      </c>
      <c r="K50" s="9">
        <f t="shared" si="12"/>
        <v>600</v>
      </c>
      <c r="L50" s="9">
        <v>3</v>
      </c>
      <c r="M50" s="9">
        <v>0</v>
      </c>
      <c r="N50" s="9">
        <f t="shared" si="13"/>
        <v>18</v>
      </c>
      <c r="O50" s="9">
        <v>5</v>
      </c>
      <c r="P50" s="9">
        <v>6</v>
      </c>
      <c r="Q50" s="9">
        <f t="shared" si="7"/>
        <v>25</v>
      </c>
    </row>
    <row r="51" s="12" customFormat="1" customHeight="1" spans="3:17">
      <c r="C51" s="9">
        <v>230055</v>
      </c>
      <c r="D51" s="9">
        <v>1</v>
      </c>
      <c r="E51" s="9">
        <v>26</v>
      </c>
      <c r="F51" s="9" t="s">
        <v>188</v>
      </c>
      <c r="G51" s="9">
        <v>5</v>
      </c>
      <c r="H51" s="16" t="s">
        <v>34</v>
      </c>
      <c r="I51" s="16" t="s">
        <v>31</v>
      </c>
      <c r="J51" s="16" t="s">
        <v>171</v>
      </c>
      <c r="K51" s="9">
        <f t="shared" si="12"/>
        <v>600</v>
      </c>
      <c r="L51" s="9">
        <v>3</v>
      </c>
      <c r="M51" s="9">
        <v>0</v>
      </c>
      <c r="N51" s="9">
        <f t="shared" si="13"/>
        <v>18</v>
      </c>
      <c r="O51" s="9">
        <v>5</v>
      </c>
      <c r="P51" s="9">
        <v>6</v>
      </c>
      <c r="Q51" s="9">
        <f t="shared" si="7"/>
        <v>25</v>
      </c>
    </row>
    <row r="52" s="12" customFormat="1" customHeight="1" spans="3:17">
      <c r="C52" s="9">
        <v>230056</v>
      </c>
      <c r="D52" s="9">
        <v>1</v>
      </c>
      <c r="E52" s="9">
        <v>26</v>
      </c>
      <c r="F52" s="9" t="s">
        <v>189</v>
      </c>
      <c r="G52" s="9">
        <v>7</v>
      </c>
      <c r="H52" s="16" t="s">
        <v>36</v>
      </c>
      <c r="I52" s="16" t="s">
        <v>49</v>
      </c>
      <c r="J52" s="16" t="s">
        <v>169</v>
      </c>
      <c r="K52" s="9">
        <f t="shared" si="12"/>
        <v>600</v>
      </c>
      <c r="L52" s="9">
        <v>3</v>
      </c>
      <c r="M52" s="9">
        <v>0</v>
      </c>
      <c r="N52" s="9">
        <f t="shared" si="13"/>
        <v>18</v>
      </c>
      <c r="O52" s="9">
        <v>5</v>
      </c>
      <c r="P52" s="9">
        <v>6</v>
      </c>
      <c r="Q52" s="9">
        <f t="shared" si="7"/>
        <v>25</v>
      </c>
    </row>
    <row r="53" s="12" customFormat="1" customHeight="1" spans="3:17">
      <c r="C53" s="9">
        <v>230057</v>
      </c>
      <c r="D53" s="9">
        <v>1</v>
      </c>
      <c r="E53" s="9">
        <v>26</v>
      </c>
      <c r="F53" s="9" t="s">
        <v>190</v>
      </c>
      <c r="G53" s="9">
        <v>9</v>
      </c>
      <c r="H53" s="9">
        <v>9</v>
      </c>
      <c r="I53" s="16" t="s">
        <v>27</v>
      </c>
      <c r="J53" s="16" t="s">
        <v>169</v>
      </c>
      <c r="K53" s="9">
        <f t="shared" si="12"/>
        <v>600</v>
      </c>
      <c r="L53" s="9">
        <v>3</v>
      </c>
      <c r="M53" s="9">
        <v>0</v>
      </c>
      <c r="N53" s="9">
        <f t="shared" si="13"/>
        <v>18</v>
      </c>
      <c r="O53" s="9">
        <v>5</v>
      </c>
      <c r="P53" s="9">
        <v>6</v>
      </c>
      <c r="Q53" s="9">
        <f t="shared" si="7"/>
        <v>25</v>
      </c>
    </row>
    <row r="54" s="12" customFormat="1" customHeight="1" spans="3:17">
      <c r="C54" s="9">
        <v>230058</v>
      </c>
      <c r="D54" s="9">
        <v>1</v>
      </c>
      <c r="E54" s="9">
        <v>26</v>
      </c>
      <c r="F54" s="9" t="s">
        <v>191</v>
      </c>
      <c r="G54" s="9">
        <v>10</v>
      </c>
      <c r="H54" s="9">
        <v>10</v>
      </c>
      <c r="I54" s="16" t="s">
        <v>31</v>
      </c>
      <c r="J54" s="16" t="s">
        <v>171</v>
      </c>
      <c r="K54" s="9">
        <f t="shared" si="12"/>
        <v>600</v>
      </c>
      <c r="L54" s="9">
        <v>3</v>
      </c>
      <c r="M54" s="9">
        <v>0</v>
      </c>
      <c r="N54" s="9">
        <f t="shared" si="13"/>
        <v>18</v>
      </c>
      <c r="O54" s="9">
        <v>5</v>
      </c>
      <c r="P54" s="9">
        <v>6</v>
      </c>
      <c r="Q54" s="9">
        <f t="shared" si="7"/>
        <v>25</v>
      </c>
    </row>
    <row r="55" s="12" customFormat="1" customHeight="1" spans="3:17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="12" customFormat="1" customHeight="1" spans="3:17">
      <c r="C56" s="9">
        <v>210061</v>
      </c>
      <c r="D56" s="9">
        <v>1</v>
      </c>
      <c r="E56" s="9">
        <v>31</v>
      </c>
      <c r="F56" s="9" t="s">
        <v>192</v>
      </c>
      <c r="G56" s="9">
        <v>1</v>
      </c>
      <c r="H56" s="9">
        <v>1</v>
      </c>
      <c r="I56" s="16" t="s">
        <v>24</v>
      </c>
      <c r="J56" s="16" t="s">
        <v>193</v>
      </c>
      <c r="K56" s="9">
        <f>(E56-1)/5*300+300</f>
        <v>2100</v>
      </c>
      <c r="L56" s="9">
        <v>1</v>
      </c>
      <c r="M56" s="9">
        <v>0</v>
      </c>
      <c r="N56" s="9">
        <f>(E56-1)/5*3+1</f>
        <v>19</v>
      </c>
      <c r="O56" s="9">
        <v>5</v>
      </c>
      <c r="P56" s="9">
        <f t="shared" ref="P56:P58" si="14">((E56-1)/5+1)*2</f>
        <v>14</v>
      </c>
      <c r="Q56" s="9">
        <f t="shared" ref="Q56:Q79" si="15">(E56-1)/5*3+10</f>
        <v>28</v>
      </c>
    </row>
    <row r="57" s="12" customFormat="1" customHeight="1" spans="3:17">
      <c r="C57" s="9">
        <v>210062</v>
      </c>
      <c r="D57" s="9">
        <v>1</v>
      </c>
      <c r="E57" s="9">
        <v>31</v>
      </c>
      <c r="F57" s="9" t="s">
        <v>194</v>
      </c>
      <c r="G57" s="9">
        <v>2</v>
      </c>
      <c r="H57" s="9">
        <v>2</v>
      </c>
      <c r="I57" s="16" t="s">
        <v>27</v>
      </c>
      <c r="J57" s="16" t="s">
        <v>193</v>
      </c>
      <c r="K57" s="9">
        <f>(E57-1)/5*300+300</f>
        <v>2100</v>
      </c>
      <c r="L57" s="9">
        <v>1</v>
      </c>
      <c r="M57" s="9">
        <v>0</v>
      </c>
      <c r="N57" s="9">
        <f>(E57-1)/5*3+2</f>
        <v>20</v>
      </c>
      <c r="O57" s="9">
        <v>5</v>
      </c>
      <c r="P57" s="9">
        <f t="shared" si="14"/>
        <v>14</v>
      </c>
      <c r="Q57" s="9">
        <f t="shared" si="15"/>
        <v>28</v>
      </c>
    </row>
    <row r="58" s="12" customFormat="1" customHeight="1" spans="3:17">
      <c r="C58" s="9">
        <v>210063</v>
      </c>
      <c r="D58" s="9">
        <v>1</v>
      </c>
      <c r="E58" s="9">
        <v>31</v>
      </c>
      <c r="F58" s="9" t="s">
        <v>195</v>
      </c>
      <c r="G58" s="9">
        <v>3</v>
      </c>
      <c r="H58" s="9">
        <v>3</v>
      </c>
      <c r="I58" s="16" t="s">
        <v>24</v>
      </c>
      <c r="J58" s="16" t="s">
        <v>196</v>
      </c>
      <c r="K58" s="9">
        <f t="shared" ref="K58:K63" si="16">(E58-1)/5*100+100</f>
        <v>700</v>
      </c>
      <c r="L58" s="9">
        <v>1</v>
      </c>
      <c r="M58" s="9">
        <v>0</v>
      </c>
      <c r="N58" s="9">
        <f t="shared" ref="N58:N63" si="17">(E58-1)/5*3+3</f>
        <v>21</v>
      </c>
      <c r="O58" s="9">
        <v>5</v>
      </c>
      <c r="P58" s="9">
        <f t="shared" ref="P58:P63" si="18">((E58-1)/5+1)*1</f>
        <v>7</v>
      </c>
      <c r="Q58" s="9">
        <f t="shared" si="15"/>
        <v>28</v>
      </c>
    </row>
    <row r="59" s="12" customFormat="1" customHeight="1" spans="3:17">
      <c r="C59" s="9">
        <v>210064</v>
      </c>
      <c r="D59" s="9">
        <v>1</v>
      </c>
      <c r="E59" s="9">
        <v>31</v>
      </c>
      <c r="F59" s="9" t="s">
        <v>197</v>
      </c>
      <c r="G59" s="9">
        <v>4</v>
      </c>
      <c r="H59" s="9">
        <v>4</v>
      </c>
      <c r="I59" s="16" t="s">
        <v>31</v>
      </c>
      <c r="J59" s="16" t="s">
        <v>198</v>
      </c>
      <c r="K59" s="9">
        <f t="shared" si="16"/>
        <v>700</v>
      </c>
      <c r="L59" s="9">
        <v>1</v>
      </c>
      <c r="M59" s="9">
        <v>0</v>
      </c>
      <c r="N59" s="9">
        <f t="shared" si="17"/>
        <v>21</v>
      </c>
      <c r="O59" s="9">
        <v>5</v>
      </c>
      <c r="P59" s="9">
        <f t="shared" si="18"/>
        <v>7</v>
      </c>
      <c r="Q59" s="9">
        <f t="shared" si="15"/>
        <v>28</v>
      </c>
    </row>
    <row r="60" s="12" customFormat="1" customHeight="1" spans="3:17">
      <c r="C60" s="9">
        <v>210065</v>
      </c>
      <c r="D60" s="9">
        <v>1</v>
      </c>
      <c r="E60" s="9">
        <v>31</v>
      </c>
      <c r="F60" s="9" t="s">
        <v>199</v>
      </c>
      <c r="G60" s="9">
        <v>5</v>
      </c>
      <c r="H60" s="16" t="s">
        <v>34</v>
      </c>
      <c r="I60" s="16" t="s">
        <v>31</v>
      </c>
      <c r="J60" s="16" t="s">
        <v>198</v>
      </c>
      <c r="K60" s="9">
        <f t="shared" si="16"/>
        <v>700</v>
      </c>
      <c r="L60" s="9">
        <v>1</v>
      </c>
      <c r="M60" s="9">
        <v>0</v>
      </c>
      <c r="N60" s="9">
        <f t="shared" si="17"/>
        <v>21</v>
      </c>
      <c r="O60" s="9">
        <v>5</v>
      </c>
      <c r="P60" s="9">
        <f t="shared" si="18"/>
        <v>7</v>
      </c>
      <c r="Q60" s="9">
        <f t="shared" si="15"/>
        <v>28</v>
      </c>
    </row>
    <row r="61" s="12" customFormat="1" customHeight="1" spans="3:17">
      <c r="C61" s="9">
        <v>210066</v>
      </c>
      <c r="D61" s="9">
        <v>1</v>
      </c>
      <c r="E61" s="9">
        <v>31</v>
      </c>
      <c r="F61" s="9" t="s">
        <v>200</v>
      </c>
      <c r="G61" s="9">
        <v>7</v>
      </c>
      <c r="H61" s="16" t="s">
        <v>36</v>
      </c>
      <c r="I61" s="16" t="s">
        <v>24</v>
      </c>
      <c r="J61" s="16" t="s">
        <v>196</v>
      </c>
      <c r="K61" s="9">
        <f t="shared" si="16"/>
        <v>700</v>
      </c>
      <c r="L61" s="9">
        <v>1</v>
      </c>
      <c r="M61" s="9">
        <v>0</v>
      </c>
      <c r="N61" s="9">
        <f t="shared" si="17"/>
        <v>21</v>
      </c>
      <c r="O61" s="9">
        <v>5</v>
      </c>
      <c r="P61" s="9">
        <f t="shared" si="18"/>
        <v>7</v>
      </c>
      <c r="Q61" s="9">
        <f t="shared" si="15"/>
        <v>28</v>
      </c>
    </row>
    <row r="62" s="12" customFormat="1" customHeight="1" spans="3:17">
      <c r="C62" s="9">
        <v>210067</v>
      </c>
      <c r="D62" s="9">
        <v>1</v>
      </c>
      <c r="E62" s="9">
        <v>31</v>
      </c>
      <c r="F62" s="9" t="s">
        <v>201</v>
      </c>
      <c r="G62" s="9">
        <v>9</v>
      </c>
      <c r="H62" s="9">
        <v>9</v>
      </c>
      <c r="I62" s="16" t="s">
        <v>27</v>
      </c>
      <c r="J62" s="16" t="s">
        <v>196</v>
      </c>
      <c r="K62" s="9">
        <f t="shared" si="16"/>
        <v>700</v>
      </c>
      <c r="L62" s="9">
        <v>1</v>
      </c>
      <c r="M62" s="9">
        <v>0</v>
      </c>
      <c r="N62" s="9">
        <f t="shared" si="17"/>
        <v>21</v>
      </c>
      <c r="O62" s="9">
        <v>5</v>
      </c>
      <c r="P62" s="9">
        <f t="shared" si="18"/>
        <v>7</v>
      </c>
      <c r="Q62" s="9">
        <f t="shared" si="15"/>
        <v>28</v>
      </c>
    </row>
    <row r="63" s="12" customFormat="1" customHeight="1" spans="3:17">
      <c r="C63" s="9">
        <v>210068</v>
      </c>
      <c r="D63" s="9">
        <v>1</v>
      </c>
      <c r="E63" s="9">
        <v>31</v>
      </c>
      <c r="F63" s="9" t="s">
        <v>202</v>
      </c>
      <c r="G63" s="9">
        <v>10</v>
      </c>
      <c r="H63" s="9">
        <v>10</v>
      </c>
      <c r="I63" s="16" t="s">
        <v>31</v>
      </c>
      <c r="J63" s="16" t="s">
        <v>198</v>
      </c>
      <c r="K63" s="9">
        <f t="shared" si="16"/>
        <v>700</v>
      </c>
      <c r="L63" s="9">
        <v>1</v>
      </c>
      <c r="M63" s="9">
        <v>0</v>
      </c>
      <c r="N63" s="9">
        <f t="shared" si="17"/>
        <v>21</v>
      </c>
      <c r="O63" s="9">
        <v>5</v>
      </c>
      <c r="P63" s="9">
        <f t="shared" si="18"/>
        <v>7</v>
      </c>
      <c r="Q63" s="9">
        <f t="shared" si="15"/>
        <v>28</v>
      </c>
    </row>
    <row r="64" s="12" customFormat="1" customHeight="1" spans="3:17">
      <c r="C64" s="9">
        <v>220061</v>
      </c>
      <c r="D64" s="9">
        <v>1</v>
      </c>
      <c r="E64" s="9">
        <v>31</v>
      </c>
      <c r="F64" s="9" t="s">
        <v>203</v>
      </c>
      <c r="G64" s="9">
        <v>1</v>
      </c>
      <c r="H64" s="9">
        <v>1</v>
      </c>
      <c r="I64" s="16" t="s">
        <v>40</v>
      </c>
      <c r="J64" s="16" t="s">
        <v>193</v>
      </c>
      <c r="K64" s="9">
        <f>(E64-1)/5*300+300</f>
        <v>2100</v>
      </c>
      <c r="L64" s="9">
        <v>2</v>
      </c>
      <c r="M64" s="9">
        <v>0</v>
      </c>
      <c r="N64" s="9">
        <f>(E64-1)/5*3+1</f>
        <v>19</v>
      </c>
      <c r="O64" s="9">
        <v>5</v>
      </c>
      <c r="P64" s="9">
        <f>((E64-1)/5+1)*2</f>
        <v>14</v>
      </c>
      <c r="Q64" s="9">
        <f t="shared" si="15"/>
        <v>28</v>
      </c>
    </row>
    <row r="65" s="12" customFormat="1" customHeight="1" spans="3:17">
      <c r="C65" s="9">
        <v>220062</v>
      </c>
      <c r="D65" s="9">
        <v>1</v>
      </c>
      <c r="E65" s="9">
        <v>31</v>
      </c>
      <c r="F65" s="9" t="s">
        <v>204</v>
      </c>
      <c r="G65" s="9">
        <v>2</v>
      </c>
      <c r="H65" s="9">
        <v>2</v>
      </c>
      <c r="I65" s="16" t="s">
        <v>27</v>
      </c>
      <c r="J65" s="16" t="s">
        <v>193</v>
      </c>
      <c r="K65" s="9">
        <f>(E65-1)/5*300+300</f>
        <v>2100</v>
      </c>
      <c r="L65" s="9">
        <v>2</v>
      </c>
      <c r="M65" s="9">
        <v>0</v>
      </c>
      <c r="N65" s="9">
        <f>(E65-1)/5*3+2</f>
        <v>20</v>
      </c>
      <c r="O65" s="9">
        <v>5</v>
      </c>
      <c r="P65" s="9">
        <f>((E65-1)/5+1)*2</f>
        <v>14</v>
      </c>
      <c r="Q65" s="9">
        <f t="shared" si="15"/>
        <v>28</v>
      </c>
    </row>
    <row r="66" s="12" customFormat="1" customHeight="1" spans="3:17">
      <c r="C66" s="9">
        <v>220063</v>
      </c>
      <c r="D66" s="9">
        <v>1</v>
      </c>
      <c r="E66" s="9">
        <v>31</v>
      </c>
      <c r="F66" s="9" t="s">
        <v>205</v>
      </c>
      <c r="G66" s="9">
        <v>3</v>
      </c>
      <c r="H66" s="9">
        <v>3</v>
      </c>
      <c r="I66" s="16" t="s">
        <v>40</v>
      </c>
      <c r="J66" s="16" t="s">
        <v>196</v>
      </c>
      <c r="K66" s="9">
        <f t="shared" ref="K66:K71" si="19">(E66-1)/5*100+100</f>
        <v>700</v>
      </c>
      <c r="L66" s="9">
        <v>2</v>
      </c>
      <c r="M66" s="9">
        <v>0</v>
      </c>
      <c r="N66" s="9">
        <f t="shared" ref="N66:N71" si="20">(E66-1)/5*3+3</f>
        <v>21</v>
      </c>
      <c r="O66" s="9">
        <v>5</v>
      </c>
      <c r="P66" s="9">
        <f t="shared" ref="P66:P71" si="21">((E66-1)/5+1)*1</f>
        <v>7</v>
      </c>
      <c r="Q66" s="9">
        <f t="shared" si="15"/>
        <v>28</v>
      </c>
    </row>
    <row r="67" s="12" customFormat="1" customHeight="1" spans="3:17">
      <c r="C67" s="9">
        <v>220064</v>
      </c>
      <c r="D67" s="9">
        <v>1</v>
      </c>
      <c r="E67" s="9">
        <v>31</v>
      </c>
      <c r="F67" s="9" t="s">
        <v>206</v>
      </c>
      <c r="G67" s="9">
        <v>4</v>
      </c>
      <c r="H67" s="9">
        <v>4</v>
      </c>
      <c r="I67" s="16" t="s">
        <v>31</v>
      </c>
      <c r="J67" s="16" t="s">
        <v>198</v>
      </c>
      <c r="K67" s="9">
        <f t="shared" si="19"/>
        <v>700</v>
      </c>
      <c r="L67" s="9">
        <v>2</v>
      </c>
      <c r="M67" s="9">
        <v>0</v>
      </c>
      <c r="N67" s="9">
        <f t="shared" si="20"/>
        <v>21</v>
      </c>
      <c r="O67" s="9">
        <v>5</v>
      </c>
      <c r="P67" s="9">
        <f t="shared" si="21"/>
        <v>7</v>
      </c>
      <c r="Q67" s="9">
        <f t="shared" si="15"/>
        <v>28</v>
      </c>
    </row>
    <row r="68" s="12" customFormat="1" customHeight="1" spans="3:17">
      <c r="C68" s="9">
        <v>220065</v>
      </c>
      <c r="D68" s="9">
        <v>1</v>
      </c>
      <c r="E68" s="9">
        <v>31</v>
      </c>
      <c r="F68" s="9" t="s">
        <v>207</v>
      </c>
      <c r="G68" s="9">
        <v>5</v>
      </c>
      <c r="H68" s="16" t="s">
        <v>34</v>
      </c>
      <c r="I68" s="16" t="s">
        <v>31</v>
      </c>
      <c r="J68" s="16" t="s">
        <v>198</v>
      </c>
      <c r="K68" s="9">
        <f t="shared" si="19"/>
        <v>700</v>
      </c>
      <c r="L68" s="9">
        <v>2</v>
      </c>
      <c r="M68" s="9">
        <v>0</v>
      </c>
      <c r="N68" s="9">
        <f t="shared" si="20"/>
        <v>21</v>
      </c>
      <c r="O68" s="9">
        <v>5</v>
      </c>
      <c r="P68" s="9">
        <f t="shared" si="21"/>
        <v>7</v>
      </c>
      <c r="Q68" s="9">
        <f t="shared" si="15"/>
        <v>28</v>
      </c>
    </row>
    <row r="69" s="12" customFormat="1" customHeight="1" spans="3:17">
      <c r="C69" s="9">
        <v>220066</v>
      </c>
      <c r="D69" s="9">
        <v>1</v>
      </c>
      <c r="E69" s="9">
        <v>31</v>
      </c>
      <c r="F69" s="9" t="s">
        <v>208</v>
      </c>
      <c r="G69" s="9">
        <v>7</v>
      </c>
      <c r="H69" s="16" t="s">
        <v>36</v>
      </c>
      <c r="I69" s="16" t="s">
        <v>40</v>
      </c>
      <c r="J69" s="16" t="s">
        <v>196</v>
      </c>
      <c r="K69" s="9">
        <f t="shared" si="19"/>
        <v>700</v>
      </c>
      <c r="L69" s="9">
        <v>2</v>
      </c>
      <c r="M69" s="9">
        <v>0</v>
      </c>
      <c r="N69" s="9">
        <f t="shared" si="20"/>
        <v>21</v>
      </c>
      <c r="O69" s="9">
        <v>5</v>
      </c>
      <c r="P69" s="9">
        <f t="shared" si="21"/>
        <v>7</v>
      </c>
      <c r="Q69" s="9">
        <f t="shared" si="15"/>
        <v>28</v>
      </c>
    </row>
    <row r="70" s="12" customFormat="1" customHeight="1" spans="3:17">
      <c r="C70" s="9">
        <v>220067</v>
      </c>
      <c r="D70" s="9">
        <v>1</v>
      </c>
      <c r="E70" s="9">
        <v>31</v>
      </c>
      <c r="F70" s="9" t="s">
        <v>209</v>
      </c>
      <c r="G70" s="9">
        <v>9</v>
      </c>
      <c r="H70" s="9">
        <v>9</v>
      </c>
      <c r="I70" s="16" t="s">
        <v>27</v>
      </c>
      <c r="J70" s="16" t="s">
        <v>196</v>
      </c>
      <c r="K70" s="9">
        <f t="shared" si="19"/>
        <v>700</v>
      </c>
      <c r="L70" s="9">
        <v>2</v>
      </c>
      <c r="M70" s="9">
        <v>0</v>
      </c>
      <c r="N70" s="9">
        <f t="shared" si="20"/>
        <v>21</v>
      </c>
      <c r="O70" s="9">
        <v>5</v>
      </c>
      <c r="P70" s="9">
        <f t="shared" si="21"/>
        <v>7</v>
      </c>
      <c r="Q70" s="9">
        <f t="shared" si="15"/>
        <v>28</v>
      </c>
    </row>
    <row r="71" s="12" customFormat="1" customHeight="1" spans="3:17">
      <c r="C71" s="9">
        <v>220068</v>
      </c>
      <c r="D71" s="9">
        <v>1</v>
      </c>
      <c r="E71" s="9">
        <v>31</v>
      </c>
      <c r="F71" s="9" t="s">
        <v>210</v>
      </c>
      <c r="G71" s="9">
        <v>10</v>
      </c>
      <c r="H71" s="9">
        <v>10</v>
      </c>
      <c r="I71" s="16" t="s">
        <v>31</v>
      </c>
      <c r="J71" s="16" t="s">
        <v>198</v>
      </c>
      <c r="K71" s="9">
        <f t="shared" si="19"/>
        <v>700</v>
      </c>
      <c r="L71" s="9">
        <v>2</v>
      </c>
      <c r="M71" s="9">
        <v>0</v>
      </c>
      <c r="N71" s="9">
        <f t="shared" si="20"/>
        <v>21</v>
      </c>
      <c r="O71" s="9">
        <v>5</v>
      </c>
      <c r="P71" s="9">
        <f t="shared" si="21"/>
        <v>7</v>
      </c>
      <c r="Q71" s="9">
        <f t="shared" si="15"/>
        <v>28</v>
      </c>
    </row>
    <row r="72" s="12" customFormat="1" customHeight="1" spans="3:17">
      <c r="C72" s="9">
        <v>230061</v>
      </c>
      <c r="D72" s="9">
        <v>1</v>
      </c>
      <c r="E72" s="9">
        <v>31</v>
      </c>
      <c r="F72" s="9" t="s">
        <v>211</v>
      </c>
      <c r="G72" s="9">
        <v>1</v>
      </c>
      <c r="H72" s="9">
        <v>1</v>
      </c>
      <c r="I72" s="16" t="s">
        <v>49</v>
      </c>
      <c r="J72" s="16" t="s">
        <v>193</v>
      </c>
      <c r="K72" s="9">
        <f>(E72-1)/5*300+300</f>
        <v>2100</v>
      </c>
      <c r="L72" s="9">
        <v>3</v>
      </c>
      <c r="M72" s="9">
        <v>0</v>
      </c>
      <c r="N72" s="9">
        <f>(E72-1)/5*3+1</f>
        <v>19</v>
      </c>
      <c r="O72" s="9">
        <v>5</v>
      </c>
      <c r="P72" s="9">
        <f>((E72-1)/5+1)*2</f>
        <v>14</v>
      </c>
      <c r="Q72" s="9">
        <f t="shared" si="15"/>
        <v>28</v>
      </c>
    </row>
    <row r="73" s="12" customFormat="1" customHeight="1" spans="3:17">
      <c r="C73" s="9">
        <v>230062</v>
      </c>
      <c r="D73" s="9">
        <v>1</v>
      </c>
      <c r="E73" s="9">
        <v>31</v>
      </c>
      <c r="F73" s="9" t="s">
        <v>212</v>
      </c>
      <c r="G73" s="9">
        <v>2</v>
      </c>
      <c r="H73" s="9">
        <v>2</v>
      </c>
      <c r="I73" s="16" t="s">
        <v>27</v>
      </c>
      <c r="J73" s="16" t="s">
        <v>193</v>
      </c>
      <c r="K73" s="9">
        <f>(E73-1)/5*300+300</f>
        <v>2100</v>
      </c>
      <c r="L73" s="9">
        <v>3</v>
      </c>
      <c r="M73" s="9">
        <v>0</v>
      </c>
      <c r="N73" s="9">
        <f>(E73-1)/5*3+2</f>
        <v>20</v>
      </c>
      <c r="O73" s="9">
        <v>5</v>
      </c>
      <c r="P73" s="9">
        <f>((E73-1)/5+1)*2</f>
        <v>14</v>
      </c>
      <c r="Q73" s="9">
        <f t="shared" si="15"/>
        <v>28</v>
      </c>
    </row>
    <row r="74" s="12" customFormat="1" customHeight="1" spans="3:17">
      <c r="C74" s="9">
        <v>230063</v>
      </c>
      <c r="D74" s="9">
        <v>1</v>
      </c>
      <c r="E74" s="9">
        <v>31</v>
      </c>
      <c r="F74" s="9" t="s">
        <v>213</v>
      </c>
      <c r="G74" s="9">
        <v>3</v>
      </c>
      <c r="H74" s="9">
        <v>3</v>
      </c>
      <c r="I74" s="16" t="s">
        <v>49</v>
      </c>
      <c r="J74" s="16" t="s">
        <v>196</v>
      </c>
      <c r="K74" s="9">
        <f t="shared" ref="K74:K79" si="22">(E74-1)/5*100+100</f>
        <v>700</v>
      </c>
      <c r="L74" s="9">
        <v>3</v>
      </c>
      <c r="M74" s="9">
        <v>0</v>
      </c>
      <c r="N74" s="9">
        <f t="shared" ref="N74:N79" si="23">(E74-1)/5*3+3</f>
        <v>21</v>
      </c>
      <c r="O74" s="9">
        <v>5</v>
      </c>
      <c r="P74" s="9">
        <f t="shared" ref="P74:P79" si="24">((E74-1)/5+1)*1</f>
        <v>7</v>
      </c>
      <c r="Q74" s="9">
        <f t="shared" si="15"/>
        <v>28</v>
      </c>
    </row>
    <row r="75" s="12" customFormat="1" customHeight="1" spans="3:17">
      <c r="C75" s="9">
        <v>230064</v>
      </c>
      <c r="D75" s="9">
        <v>1</v>
      </c>
      <c r="E75" s="9">
        <v>31</v>
      </c>
      <c r="F75" s="9" t="s">
        <v>214</v>
      </c>
      <c r="G75" s="9">
        <v>4</v>
      </c>
      <c r="H75" s="9">
        <v>4</v>
      </c>
      <c r="I75" s="16" t="s">
        <v>31</v>
      </c>
      <c r="J75" s="16" t="s">
        <v>198</v>
      </c>
      <c r="K75" s="9">
        <f t="shared" si="22"/>
        <v>700</v>
      </c>
      <c r="L75" s="9">
        <v>3</v>
      </c>
      <c r="M75" s="9">
        <v>0</v>
      </c>
      <c r="N75" s="9">
        <f t="shared" si="23"/>
        <v>21</v>
      </c>
      <c r="O75" s="9">
        <v>5</v>
      </c>
      <c r="P75" s="9">
        <f t="shared" si="24"/>
        <v>7</v>
      </c>
      <c r="Q75" s="9">
        <f t="shared" si="15"/>
        <v>28</v>
      </c>
    </row>
    <row r="76" s="12" customFormat="1" customHeight="1" spans="3:17">
      <c r="C76" s="9">
        <v>230065</v>
      </c>
      <c r="D76" s="9">
        <v>1</v>
      </c>
      <c r="E76" s="9">
        <v>31</v>
      </c>
      <c r="F76" s="9" t="s">
        <v>215</v>
      </c>
      <c r="G76" s="9">
        <v>5</v>
      </c>
      <c r="H76" s="16" t="s">
        <v>34</v>
      </c>
      <c r="I76" s="16" t="s">
        <v>31</v>
      </c>
      <c r="J76" s="16" t="s">
        <v>198</v>
      </c>
      <c r="K76" s="9">
        <f t="shared" si="22"/>
        <v>700</v>
      </c>
      <c r="L76" s="9">
        <v>3</v>
      </c>
      <c r="M76" s="9">
        <v>0</v>
      </c>
      <c r="N76" s="9">
        <f t="shared" si="23"/>
        <v>21</v>
      </c>
      <c r="O76" s="9">
        <v>5</v>
      </c>
      <c r="P76" s="9">
        <f t="shared" si="24"/>
        <v>7</v>
      </c>
      <c r="Q76" s="9">
        <f t="shared" si="15"/>
        <v>28</v>
      </c>
    </row>
    <row r="77" s="12" customFormat="1" customHeight="1" spans="3:17">
      <c r="C77" s="9">
        <v>230066</v>
      </c>
      <c r="D77" s="9">
        <v>1</v>
      </c>
      <c r="E77" s="9">
        <v>31</v>
      </c>
      <c r="F77" s="9" t="s">
        <v>216</v>
      </c>
      <c r="G77" s="9">
        <v>7</v>
      </c>
      <c r="H77" s="16" t="s">
        <v>36</v>
      </c>
      <c r="I77" s="16" t="s">
        <v>49</v>
      </c>
      <c r="J77" s="16" t="s">
        <v>196</v>
      </c>
      <c r="K77" s="9">
        <f t="shared" si="22"/>
        <v>700</v>
      </c>
      <c r="L77" s="9">
        <v>3</v>
      </c>
      <c r="M77" s="9">
        <v>0</v>
      </c>
      <c r="N77" s="9">
        <f t="shared" si="23"/>
        <v>21</v>
      </c>
      <c r="O77" s="9">
        <v>5</v>
      </c>
      <c r="P77" s="9">
        <f t="shared" si="24"/>
        <v>7</v>
      </c>
      <c r="Q77" s="9">
        <f t="shared" si="15"/>
        <v>28</v>
      </c>
    </row>
    <row r="78" s="12" customFormat="1" customHeight="1" spans="3:17">
      <c r="C78" s="9">
        <v>230067</v>
      </c>
      <c r="D78" s="9">
        <v>1</v>
      </c>
      <c r="E78" s="9">
        <v>31</v>
      </c>
      <c r="F78" s="9" t="s">
        <v>217</v>
      </c>
      <c r="G78" s="9">
        <v>9</v>
      </c>
      <c r="H78" s="9">
        <v>9</v>
      </c>
      <c r="I78" s="16" t="s">
        <v>27</v>
      </c>
      <c r="J78" s="16" t="s">
        <v>196</v>
      </c>
      <c r="K78" s="9">
        <f t="shared" si="22"/>
        <v>700</v>
      </c>
      <c r="L78" s="9">
        <v>3</v>
      </c>
      <c r="M78" s="9">
        <v>0</v>
      </c>
      <c r="N78" s="9">
        <f t="shared" si="23"/>
        <v>21</v>
      </c>
      <c r="O78" s="9">
        <v>5</v>
      </c>
      <c r="P78" s="9">
        <f t="shared" si="24"/>
        <v>7</v>
      </c>
      <c r="Q78" s="9">
        <f t="shared" si="15"/>
        <v>28</v>
      </c>
    </row>
    <row r="79" s="12" customFormat="1" customHeight="1" spans="3:17">
      <c r="C79" s="9">
        <v>230068</v>
      </c>
      <c r="D79" s="9">
        <v>1</v>
      </c>
      <c r="E79" s="9">
        <v>31</v>
      </c>
      <c r="F79" s="9" t="s">
        <v>218</v>
      </c>
      <c r="G79" s="9">
        <v>10</v>
      </c>
      <c r="H79" s="9">
        <v>10</v>
      </c>
      <c r="I79" s="16" t="s">
        <v>31</v>
      </c>
      <c r="J79" s="16" t="s">
        <v>198</v>
      </c>
      <c r="K79" s="9">
        <f t="shared" si="22"/>
        <v>700</v>
      </c>
      <c r="L79" s="9">
        <v>3</v>
      </c>
      <c r="M79" s="9">
        <v>0</v>
      </c>
      <c r="N79" s="9">
        <f t="shared" si="23"/>
        <v>21</v>
      </c>
      <c r="O79" s="9">
        <v>5</v>
      </c>
      <c r="P79" s="9">
        <f t="shared" si="24"/>
        <v>7</v>
      </c>
      <c r="Q79" s="9">
        <f t="shared" si="15"/>
        <v>28</v>
      </c>
    </row>
    <row r="80" s="12" customFormat="1" customHeight="1" spans="3:17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="12" customFormat="1" customHeight="1" spans="3:17">
      <c r="C81" s="9">
        <v>210071</v>
      </c>
      <c r="D81" s="9">
        <v>1</v>
      </c>
      <c r="E81" s="9">
        <v>36</v>
      </c>
      <c r="F81" s="9" t="s">
        <v>219</v>
      </c>
      <c r="G81" s="9">
        <v>1</v>
      </c>
      <c r="H81" s="9">
        <v>1</v>
      </c>
      <c r="I81" s="16" t="s">
        <v>24</v>
      </c>
      <c r="J81" s="16" t="s">
        <v>220</v>
      </c>
      <c r="K81" s="9">
        <f>(E81-1)/5*300+300</f>
        <v>2400</v>
      </c>
      <c r="L81" s="9">
        <v>1</v>
      </c>
      <c r="M81" s="9">
        <v>0</v>
      </c>
      <c r="N81" s="9">
        <f>(E81-1)/5*3+1</f>
        <v>22</v>
      </c>
      <c r="O81" s="9">
        <v>5</v>
      </c>
      <c r="P81" s="9">
        <f>((E81-1)/5+1)*2</f>
        <v>16</v>
      </c>
      <c r="Q81" s="9">
        <f t="shared" ref="Q81:Q104" si="25">(E81-1)/5*3+10</f>
        <v>31</v>
      </c>
    </row>
    <row r="82" s="12" customFormat="1" customHeight="1" spans="3:17">
      <c r="C82" s="9">
        <v>210072</v>
      </c>
      <c r="D82" s="9">
        <v>1</v>
      </c>
      <c r="E82" s="9">
        <v>36</v>
      </c>
      <c r="F82" s="9" t="s">
        <v>221</v>
      </c>
      <c r="G82" s="9">
        <v>2</v>
      </c>
      <c r="H82" s="9">
        <v>2</v>
      </c>
      <c r="I82" s="16" t="s">
        <v>27</v>
      </c>
      <c r="J82" s="16" t="s">
        <v>220</v>
      </c>
      <c r="K82" s="9">
        <f>(E82-1)/5*300+300</f>
        <v>2400</v>
      </c>
      <c r="L82" s="9">
        <v>1</v>
      </c>
      <c r="M82" s="9">
        <v>0</v>
      </c>
      <c r="N82" s="9">
        <f>(E82-1)/5*3+2</f>
        <v>23</v>
      </c>
      <c r="O82" s="9">
        <v>5</v>
      </c>
      <c r="P82" s="9">
        <f>((E82-1)/5+1)*2</f>
        <v>16</v>
      </c>
      <c r="Q82" s="9">
        <f t="shared" si="25"/>
        <v>31</v>
      </c>
    </row>
    <row r="83" s="12" customFormat="1" customHeight="1" spans="3:17">
      <c r="C83" s="9">
        <v>210073</v>
      </c>
      <c r="D83" s="9">
        <v>1</v>
      </c>
      <c r="E83" s="9">
        <v>36</v>
      </c>
      <c r="F83" s="9" t="s">
        <v>222</v>
      </c>
      <c r="G83" s="9">
        <v>3</v>
      </c>
      <c r="H83" s="9">
        <v>3</v>
      </c>
      <c r="I83" s="16" t="s">
        <v>24</v>
      </c>
      <c r="J83" s="16" t="s">
        <v>223</v>
      </c>
      <c r="K83" s="9">
        <f t="shared" ref="K83:K88" si="26">(E83-1)/5*100+100</f>
        <v>800</v>
      </c>
      <c r="L83" s="9">
        <v>1</v>
      </c>
      <c r="M83" s="9">
        <v>0</v>
      </c>
      <c r="N83" s="9">
        <f t="shared" ref="N83:N88" si="27">(E83-1)/5*3+3</f>
        <v>24</v>
      </c>
      <c r="O83" s="9">
        <v>5</v>
      </c>
      <c r="P83" s="9">
        <f t="shared" ref="P83:P88" si="28">((E83-1)/5+1)*1</f>
        <v>8</v>
      </c>
      <c r="Q83" s="9">
        <f t="shared" si="25"/>
        <v>31</v>
      </c>
    </row>
    <row r="84" s="12" customFormat="1" customHeight="1" spans="3:17">
      <c r="C84" s="9">
        <v>210074</v>
      </c>
      <c r="D84" s="9">
        <v>1</v>
      </c>
      <c r="E84" s="9">
        <v>36</v>
      </c>
      <c r="F84" s="9" t="s">
        <v>224</v>
      </c>
      <c r="G84" s="9">
        <v>4</v>
      </c>
      <c r="H84" s="9">
        <v>4</v>
      </c>
      <c r="I84" s="16" t="s">
        <v>31</v>
      </c>
      <c r="J84" s="16" t="s">
        <v>225</v>
      </c>
      <c r="K84" s="9">
        <f t="shared" si="26"/>
        <v>800</v>
      </c>
      <c r="L84" s="9">
        <v>1</v>
      </c>
      <c r="M84" s="9">
        <v>0</v>
      </c>
      <c r="N84" s="9">
        <f t="shared" si="27"/>
        <v>24</v>
      </c>
      <c r="O84" s="9">
        <v>5</v>
      </c>
      <c r="P84" s="9">
        <f t="shared" si="28"/>
        <v>8</v>
      </c>
      <c r="Q84" s="9">
        <f t="shared" si="25"/>
        <v>31</v>
      </c>
    </row>
    <row r="85" s="12" customFormat="1" customHeight="1" spans="3:17">
      <c r="C85" s="9">
        <v>210075</v>
      </c>
      <c r="D85" s="9">
        <v>1</v>
      </c>
      <c r="E85" s="9">
        <v>36</v>
      </c>
      <c r="F85" s="9" t="s">
        <v>226</v>
      </c>
      <c r="G85" s="9">
        <v>5</v>
      </c>
      <c r="H85" s="16" t="s">
        <v>34</v>
      </c>
      <c r="I85" s="16" t="s">
        <v>31</v>
      </c>
      <c r="J85" s="16" t="s">
        <v>225</v>
      </c>
      <c r="K85" s="9">
        <f t="shared" si="26"/>
        <v>800</v>
      </c>
      <c r="L85" s="9">
        <v>1</v>
      </c>
      <c r="M85" s="9">
        <v>0</v>
      </c>
      <c r="N85" s="9">
        <f t="shared" si="27"/>
        <v>24</v>
      </c>
      <c r="O85" s="9">
        <v>5</v>
      </c>
      <c r="P85" s="9">
        <f t="shared" si="28"/>
        <v>8</v>
      </c>
      <c r="Q85" s="9">
        <f t="shared" si="25"/>
        <v>31</v>
      </c>
    </row>
    <row r="86" s="12" customFormat="1" customHeight="1" spans="3:17">
      <c r="C86" s="9">
        <v>210076</v>
      </c>
      <c r="D86" s="9">
        <v>1</v>
      </c>
      <c r="E86" s="9">
        <v>36</v>
      </c>
      <c r="F86" s="9" t="s">
        <v>227</v>
      </c>
      <c r="G86" s="9">
        <v>7</v>
      </c>
      <c r="H86" s="16" t="s">
        <v>36</v>
      </c>
      <c r="I86" s="16" t="s">
        <v>24</v>
      </c>
      <c r="J86" s="16" t="s">
        <v>223</v>
      </c>
      <c r="K86" s="9">
        <f t="shared" si="26"/>
        <v>800</v>
      </c>
      <c r="L86" s="9">
        <v>1</v>
      </c>
      <c r="M86" s="9">
        <v>0</v>
      </c>
      <c r="N86" s="9">
        <f t="shared" si="27"/>
        <v>24</v>
      </c>
      <c r="O86" s="9">
        <v>5</v>
      </c>
      <c r="P86" s="9">
        <f t="shared" si="28"/>
        <v>8</v>
      </c>
      <c r="Q86" s="9">
        <f t="shared" si="25"/>
        <v>31</v>
      </c>
    </row>
    <row r="87" s="12" customFormat="1" customHeight="1" spans="3:17">
      <c r="C87" s="9">
        <v>210077</v>
      </c>
      <c r="D87" s="9">
        <v>1</v>
      </c>
      <c r="E87" s="9">
        <v>36</v>
      </c>
      <c r="F87" s="9" t="s">
        <v>228</v>
      </c>
      <c r="G87" s="9">
        <v>9</v>
      </c>
      <c r="H87" s="9">
        <v>9</v>
      </c>
      <c r="I87" s="16" t="s">
        <v>27</v>
      </c>
      <c r="J87" s="16" t="s">
        <v>223</v>
      </c>
      <c r="K87" s="9">
        <f t="shared" si="26"/>
        <v>800</v>
      </c>
      <c r="L87" s="9">
        <v>1</v>
      </c>
      <c r="M87" s="9">
        <v>0</v>
      </c>
      <c r="N87" s="9">
        <f t="shared" si="27"/>
        <v>24</v>
      </c>
      <c r="O87" s="9">
        <v>5</v>
      </c>
      <c r="P87" s="9">
        <f t="shared" si="28"/>
        <v>8</v>
      </c>
      <c r="Q87" s="9">
        <f t="shared" si="25"/>
        <v>31</v>
      </c>
    </row>
    <row r="88" s="12" customFormat="1" customHeight="1" spans="3:17">
      <c r="C88" s="9">
        <v>210078</v>
      </c>
      <c r="D88" s="9">
        <v>1</v>
      </c>
      <c r="E88" s="9">
        <v>36</v>
      </c>
      <c r="F88" s="9" t="s">
        <v>229</v>
      </c>
      <c r="G88" s="9">
        <v>10</v>
      </c>
      <c r="H88" s="9">
        <v>10</v>
      </c>
      <c r="I88" s="16" t="s">
        <v>31</v>
      </c>
      <c r="J88" s="16" t="s">
        <v>225</v>
      </c>
      <c r="K88" s="9">
        <f t="shared" si="26"/>
        <v>800</v>
      </c>
      <c r="L88" s="9">
        <v>1</v>
      </c>
      <c r="M88" s="9">
        <v>0</v>
      </c>
      <c r="N88" s="9">
        <f t="shared" si="27"/>
        <v>24</v>
      </c>
      <c r="O88" s="9">
        <v>5</v>
      </c>
      <c r="P88" s="9">
        <f t="shared" si="28"/>
        <v>8</v>
      </c>
      <c r="Q88" s="9">
        <f t="shared" si="25"/>
        <v>31</v>
      </c>
    </row>
    <row r="89" s="12" customFormat="1" customHeight="1" spans="3:17">
      <c r="C89" s="9">
        <v>220071</v>
      </c>
      <c r="D89" s="9">
        <v>1</v>
      </c>
      <c r="E89" s="9">
        <v>36</v>
      </c>
      <c r="F89" s="9" t="s">
        <v>230</v>
      </c>
      <c r="G89" s="9">
        <v>1</v>
      </c>
      <c r="H89" s="9">
        <v>1</v>
      </c>
      <c r="I89" s="16" t="s">
        <v>40</v>
      </c>
      <c r="J89" s="16" t="s">
        <v>220</v>
      </c>
      <c r="K89" s="9">
        <f>(E89-1)/5*300+300</f>
        <v>2400</v>
      </c>
      <c r="L89" s="9">
        <v>2</v>
      </c>
      <c r="M89" s="9">
        <v>0</v>
      </c>
      <c r="N89" s="9">
        <f>(E89-1)/5*3+1</f>
        <v>22</v>
      </c>
      <c r="O89" s="9">
        <v>5</v>
      </c>
      <c r="P89" s="9">
        <f>((E89-1)/5+1)*2</f>
        <v>16</v>
      </c>
      <c r="Q89" s="9">
        <f t="shared" si="25"/>
        <v>31</v>
      </c>
    </row>
    <row r="90" s="12" customFormat="1" customHeight="1" spans="3:17">
      <c r="C90" s="9">
        <v>220072</v>
      </c>
      <c r="D90" s="9">
        <v>1</v>
      </c>
      <c r="E90" s="9">
        <v>36</v>
      </c>
      <c r="F90" s="9" t="s">
        <v>231</v>
      </c>
      <c r="G90" s="9">
        <v>2</v>
      </c>
      <c r="H90" s="9">
        <v>2</v>
      </c>
      <c r="I90" s="16" t="s">
        <v>27</v>
      </c>
      <c r="J90" s="16" t="s">
        <v>220</v>
      </c>
      <c r="K90" s="9">
        <f>(E90-1)/5*300+300</f>
        <v>2400</v>
      </c>
      <c r="L90" s="9">
        <v>2</v>
      </c>
      <c r="M90" s="9">
        <v>0</v>
      </c>
      <c r="N90" s="9">
        <f>(E90-1)/5*3+2</f>
        <v>23</v>
      </c>
      <c r="O90" s="9">
        <v>5</v>
      </c>
      <c r="P90" s="9">
        <f>((E90-1)/5+1)*2</f>
        <v>16</v>
      </c>
      <c r="Q90" s="9">
        <f t="shared" si="25"/>
        <v>31</v>
      </c>
    </row>
    <row r="91" s="12" customFormat="1" customHeight="1" spans="3:17">
      <c r="C91" s="9">
        <v>220073</v>
      </c>
      <c r="D91" s="9">
        <v>1</v>
      </c>
      <c r="E91" s="9">
        <v>36</v>
      </c>
      <c r="F91" s="9" t="s">
        <v>232</v>
      </c>
      <c r="G91" s="9">
        <v>3</v>
      </c>
      <c r="H91" s="9">
        <v>3</v>
      </c>
      <c r="I91" s="16" t="s">
        <v>40</v>
      </c>
      <c r="J91" s="16" t="s">
        <v>223</v>
      </c>
      <c r="K91" s="9">
        <f t="shared" ref="K91:K96" si="29">(E91-1)/5*100+100</f>
        <v>800</v>
      </c>
      <c r="L91" s="9">
        <v>2</v>
      </c>
      <c r="M91" s="9">
        <v>0</v>
      </c>
      <c r="N91" s="9">
        <f t="shared" ref="N91:N96" si="30">(E91-1)/5*3+3</f>
        <v>24</v>
      </c>
      <c r="O91" s="9">
        <v>5</v>
      </c>
      <c r="P91" s="9">
        <f t="shared" ref="P91:P96" si="31">((E91-1)/5+1)*1</f>
        <v>8</v>
      </c>
      <c r="Q91" s="9">
        <f t="shared" si="25"/>
        <v>31</v>
      </c>
    </row>
    <row r="92" s="12" customFormat="1" customHeight="1" spans="3:17">
      <c r="C92" s="9">
        <v>220074</v>
      </c>
      <c r="D92" s="9">
        <v>1</v>
      </c>
      <c r="E92" s="9">
        <v>36</v>
      </c>
      <c r="F92" s="9" t="s">
        <v>233</v>
      </c>
      <c r="G92" s="9">
        <v>4</v>
      </c>
      <c r="H92" s="9">
        <v>4</v>
      </c>
      <c r="I92" s="16" t="s">
        <v>31</v>
      </c>
      <c r="J92" s="16" t="s">
        <v>225</v>
      </c>
      <c r="K92" s="9">
        <f t="shared" si="29"/>
        <v>800</v>
      </c>
      <c r="L92" s="9">
        <v>2</v>
      </c>
      <c r="M92" s="9">
        <v>0</v>
      </c>
      <c r="N92" s="9">
        <f t="shared" si="30"/>
        <v>24</v>
      </c>
      <c r="O92" s="9">
        <v>5</v>
      </c>
      <c r="P92" s="9">
        <f t="shared" si="31"/>
        <v>8</v>
      </c>
      <c r="Q92" s="9">
        <f t="shared" si="25"/>
        <v>31</v>
      </c>
    </row>
    <row r="93" s="12" customFormat="1" customHeight="1" spans="3:17">
      <c r="C93" s="9">
        <v>220075</v>
      </c>
      <c r="D93" s="9">
        <v>1</v>
      </c>
      <c r="E93" s="9">
        <v>36</v>
      </c>
      <c r="F93" s="9" t="s">
        <v>234</v>
      </c>
      <c r="G93" s="9">
        <v>5</v>
      </c>
      <c r="H93" s="16" t="s">
        <v>34</v>
      </c>
      <c r="I93" s="16" t="s">
        <v>31</v>
      </c>
      <c r="J93" s="16" t="s">
        <v>225</v>
      </c>
      <c r="K93" s="9">
        <f t="shared" si="29"/>
        <v>800</v>
      </c>
      <c r="L93" s="9">
        <v>2</v>
      </c>
      <c r="M93" s="9">
        <v>0</v>
      </c>
      <c r="N93" s="9">
        <f t="shared" si="30"/>
        <v>24</v>
      </c>
      <c r="O93" s="9">
        <v>5</v>
      </c>
      <c r="P93" s="9">
        <f t="shared" si="31"/>
        <v>8</v>
      </c>
      <c r="Q93" s="9">
        <f t="shared" si="25"/>
        <v>31</v>
      </c>
    </row>
    <row r="94" s="12" customFormat="1" customHeight="1" spans="3:17">
      <c r="C94" s="9">
        <v>220076</v>
      </c>
      <c r="D94" s="9">
        <v>1</v>
      </c>
      <c r="E94" s="9">
        <v>36</v>
      </c>
      <c r="F94" s="9" t="s">
        <v>235</v>
      </c>
      <c r="G94" s="9">
        <v>7</v>
      </c>
      <c r="H94" s="16" t="s">
        <v>36</v>
      </c>
      <c r="I94" s="16" t="s">
        <v>40</v>
      </c>
      <c r="J94" s="16" t="s">
        <v>223</v>
      </c>
      <c r="K94" s="9">
        <f t="shared" si="29"/>
        <v>800</v>
      </c>
      <c r="L94" s="9">
        <v>2</v>
      </c>
      <c r="M94" s="9">
        <v>0</v>
      </c>
      <c r="N94" s="9">
        <f t="shared" si="30"/>
        <v>24</v>
      </c>
      <c r="O94" s="9">
        <v>5</v>
      </c>
      <c r="P94" s="9">
        <f t="shared" si="31"/>
        <v>8</v>
      </c>
      <c r="Q94" s="9">
        <f t="shared" si="25"/>
        <v>31</v>
      </c>
    </row>
    <row r="95" s="12" customFormat="1" customHeight="1" spans="3:17">
      <c r="C95" s="9">
        <v>220077</v>
      </c>
      <c r="D95" s="9">
        <v>1</v>
      </c>
      <c r="E95" s="9">
        <v>36</v>
      </c>
      <c r="F95" s="9" t="s">
        <v>236</v>
      </c>
      <c r="G95" s="9">
        <v>9</v>
      </c>
      <c r="H95" s="9">
        <v>9</v>
      </c>
      <c r="I95" s="16" t="s">
        <v>27</v>
      </c>
      <c r="J95" s="16" t="s">
        <v>223</v>
      </c>
      <c r="K95" s="9">
        <f t="shared" si="29"/>
        <v>800</v>
      </c>
      <c r="L95" s="9">
        <v>2</v>
      </c>
      <c r="M95" s="9">
        <v>0</v>
      </c>
      <c r="N95" s="9">
        <f t="shared" si="30"/>
        <v>24</v>
      </c>
      <c r="O95" s="9">
        <v>5</v>
      </c>
      <c r="P95" s="9">
        <f t="shared" si="31"/>
        <v>8</v>
      </c>
      <c r="Q95" s="9">
        <f t="shared" si="25"/>
        <v>31</v>
      </c>
    </row>
    <row r="96" s="12" customFormat="1" customHeight="1" spans="3:17">
      <c r="C96" s="9">
        <v>220078</v>
      </c>
      <c r="D96" s="9">
        <v>1</v>
      </c>
      <c r="E96" s="9">
        <v>36</v>
      </c>
      <c r="F96" s="9" t="s">
        <v>237</v>
      </c>
      <c r="G96" s="9">
        <v>10</v>
      </c>
      <c r="H96" s="9">
        <v>10</v>
      </c>
      <c r="I96" s="16" t="s">
        <v>31</v>
      </c>
      <c r="J96" s="16" t="s">
        <v>225</v>
      </c>
      <c r="K96" s="9">
        <f t="shared" si="29"/>
        <v>800</v>
      </c>
      <c r="L96" s="9">
        <v>2</v>
      </c>
      <c r="M96" s="9">
        <v>0</v>
      </c>
      <c r="N96" s="9">
        <f t="shared" si="30"/>
        <v>24</v>
      </c>
      <c r="O96" s="9">
        <v>5</v>
      </c>
      <c r="P96" s="9">
        <f t="shared" si="31"/>
        <v>8</v>
      </c>
      <c r="Q96" s="9">
        <f t="shared" si="25"/>
        <v>31</v>
      </c>
    </row>
    <row r="97" s="12" customFormat="1" customHeight="1" spans="3:17">
      <c r="C97" s="9">
        <v>230071</v>
      </c>
      <c r="D97" s="9">
        <v>1</v>
      </c>
      <c r="E97" s="9">
        <v>36</v>
      </c>
      <c r="F97" s="9" t="s">
        <v>238</v>
      </c>
      <c r="G97" s="9">
        <v>1</v>
      </c>
      <c r="H97" s="9">
        <v>1</v>
      </c>
      <c r="I97" s="16" t="s">
        <v>49</v>
      </c>
      <c r="J97" s="16" t="s">
        <v>220</v>
      </c>
      <c r="K97" s="9">
        <f>(E97-1)/5*300+300</f>
        <v>2400</v>
      </c>
      <c r="L97" s="9">
        <v>3</v>
      </c>
      <c r="M97" s="9">
        <v>0</v>
      </c>
      <c r="N97" s="9">
        <f>(E97-1)/5*3+1</f>
        <v>22</v>
      </c>
      <c r="O97" s="9">
        <v>5</v>
      </c>
      <c r="P97" s="9">
        <f>((E97-1)/5+1)*2</f>
        <v>16</v>
      </c>
      <c r="Q97" s="9">
        <f t="shared" si="25"/>
        <v>31</v>
      </c>
    </row>
    <row r="98" s="12" customFormat="1" customHeight="1" spans="3:17">
      <c r="C98" s="9">
        <v>230072</v>
      </c>
      <c r="D98" s="9">
        <v>1</v>
      </c>
      <c r="E98" s="9">
        <v>36</v>
      </c>
      <c r="F98" s="9" t="s">
        <v>239</v>
      </c>
      <c r="G98" s="9">
        <v>2</v>
      </c>
      <c r="H98" s="9">
        <v>2</v>
      </c>
      <c r="I98" s="16" t="s">
        <v>27</v>
      </c>
      <c r="J98" s="16" t="s">
        <v>220</v>
      </c>
      <c r="K98" s="9">
        <f>(E98-1)/5*300+300</f>
        <v>2400</v>
      </c>
      <c r="L98" s="9">
        <v>3</v>
      </c>
      <c r="M98" s="9">
        <v>0</v>
      </c>
      <c r="N98" s="9">
        <f>(E98-1)/5*3+2</f>
        <v>23</v>
      </c>
      <c r="O98" s="9">
        <v>5</v>
      </c>
      <c r="P98" s="9">
        <f>((E98-1)/5+1)*2</f>
        <v>16</v>
      </c>
      <c r="Q98" s="9">
        <f t="shared" si="25"/>
        <v>31</v>
      </c>
    </row>
    <row r="99" s="12" customFormat="1" customHeight="1" spans="3:17">
      <c r="C99" s="9">
        <v>230073</v>
      </c>
      <c r="D99" s="9">
        <v>1</v>
      </c>
      <c r="E99" s="9">
        <v>36</v>
      </c>
      <c r="F99" s="9" t="s">
        <v>240</v>
      </c>
      <c r="G99" s="9">
        <v>3</v>
      </c>
      <c r="H99" s="9">
        <v>3</v>
      </c>
      <c r="I99" s="16" t="s">
        <v>49</v>
      </c>
      <c r="J99" s="16" t="s">
        <v>223</v>
      </c>
      <c r="K99" s="9">
        <f t="shared" ref="K99:K104" si="32">(E99-1)/5*100+100</f>
        <v>800</v>
      </c>
      <c r="L99" s="9">
        <v>3</v>
      </c>
      <c r="M99" s="9">
        <v>0</v>
      </c>
      <c r="N99" s="9">
        <f t="shared" ref="N99:N104" si="33">(E99-1)/5*3+3</f>
        <v>24</v>
      </c>
      <c r="O99" s="9">
        <v>5</v>
      </c>
      <c r="P99" s="9">
        <f t="shared" ref="P99:P104" si="34">((E99-1)/5+1)*1</f>
        <v>8</v>
      </c>
      <c r="Q99" s="9">
        <f t="shared" si="25"/>
        <v>31</v>
      </c>
    </row>
    <row r="100" s="12" customFormat="1" customHeight="1" spans="3:17">
      <c r="C100" s="9">
        <v>230074</v>
      </c>
      <c r="D100" s="9">
        <v>1</v>
      </c>
      <c r="E100" s="9">
        <v>36</v>
      </c>
      <c r="F100" s="9" t="s">
        <v>241</v>
      </c>
      <c r="G100" s="9">
        <v>4</v>
      </c>
      <c r="H100" s="9">
        <v>4</v>
      </c>
      <c r="I100" s="16" t="s">
        <v>31</v>
      </c>
      <c r="J100" s="16" t="s">
        <v>225</v>
      </c>
      <c r="K100" s="9">
        <f t="shared" si="32"/>
        <v>800</v>
      </c>
      <c r="L100" s="9">
        <v>3</v>
      </c>
      <c r="M100" s="9">
        <v>0</v>
      </c>
      <c r="N100" s="9">
        <f t="shared" si="33"/>
        <v>24</v>
      </c>
      <c r="O100" s="9">
        <v>5</v>
      </c>
      <c r="P100" s="9">
        <f t="shared" si="34"/>
        <v>8</v>
      </c>
      <c r="Q100" s="9">
        <f t="shared" si="25"/>
        <v>31</v>
      </c>
    </row>
    <row r="101" s="12" customFormat="1" customHeight="1" spans="3:17">
      <c r="C101" s="9">
        <v>230075</v>
      </c>
      <c r="D101" s="9">
        <v>1</v>
      </c>
      <c r="E101" s="9">
        <v>36</v>
      </c>
      <c r="F101" s="9" t="s">
        <v>242</v>
      </c>
      <c r="G101" s="9">
        <v>5</v>
      </c>
      <c r="H101" s="16" t="s">
        <v>34</v>
      </c>
      <c r="I101" s="16" t="s">
        <v>31</v>
      </c>
      <c r="J101" s="16" t="s">
        <v>225</v>
      </c>
      <c r="K101" s="9">
        <f t="shared" si="32"/>
        <v>800</v>
      </c>
      <c r="L101" s="9">
        <v>3</v>
      </c>
      <c r="M101" s="9">
        <v>0</v>
      </c>
      <c r="N101" s="9">
        <f t="shared" si="33"/>
        <v>24</v>
      </c>
      <c r="O101" s="9">
        <v>5</v>
      </c>
      <c r="P101" s="9">
        <f t="shared" si="34"/>
        <v>8</v>
      </c>
      <c r="Q101" s="9">
        <f t="shared" si="25"/>
        <v>31</v>
      </c>
    </row>
    <row r="102" s="12" customFormat="1" customHeight="1" spans="3:17">
      <c r="C102" s="9">
        <v>230076</v>
      </c>
      <c r="D102" s="9">
        <v>1</v>
      </c>
      <c r="E102" s="9">
        <v>36</v>
      </c>
      <c r="F102" s="9" t="s">
        <v>243</v>
      </c>
      <c r="G102" s="9">
        <v>7</v>
      </c>
      <c r="H102" s="16" t="s">
        <v>36</v>
      </c>
      <c r="I102" s="16" t="s">
        <v>49</v>
      </c>
      <c r="J102" s="16" t="s">
        <v>223</v>
      </c>
      <c r="K102" s="9">
        <f t="shared" si="32"/>
        <v>800</v>
      </c>
      <c r="L102" s="9">
        <v>3</v>
      </c>
      <c r="M102" s="9">
        <v>0</v>
      </c>
      <c r="N102" s="9">
        <f t="shared" si="33"/>
        <v>24</v>
      </c>
      <c r="O102" s="9">
        <v>5</v>
      </c>
      <c r="P102" s="9">
        <f t="shared" si="34"/>
        <v>8</v>
      </c>
      <c r="Q102" s="9">
        <f t="shared" si="25"/>
        <v>31</v>
      </c>
    </row>
    <row r="103" s="12" customFormat="1" customHeight="1" spans="3:17">
      <c r="C103" s="9">
        <v>230077</v>
      </c>
      <c r="D103" s="9">
        <v>1</v>
      </c>
      <c r="E103" s="9">
        <v>36</v>
      </c>
      <c r="F103" s="9" t="s">
        <v>244</v>
      </c>
      <c r="G103" s="9">
        <v>9</v>
      </c>
      <c r="H103" s="9">
        <v>9</v>
      </c>
      <c r="I103" s="16" t="s">
        <v>27</v>
      </c>
      <c r="J103" s="16" t="s">
        <v>223</v>
      </c>
      <c r="K103" s="9">
        <f t="shared" si="32"/>
        <v>800</v>
      </c>
      <c r="L103" s="9">
        <v>3</v>
      </c>
      <c r="M103" s="9">
        <v>0</v>
      </c>
      <c r="N103" s="9">
        <f t="shared" si="33"/>
        <v>24</v>
      </c>
      <c r="O103" s="9">
        <v>5</v>
      </c>
      <c r="P103" s="9">
        <f t="shared" si="34"/>
        <v>8</v>
      </c>
      <c r="Q103" s="9">
        <f t="shared" si="25"/>
        <v>31</v>
      </c>
    </row>
    <row r="104" s="12" customFormat="1" customHeight="1" spans="3:17">
      <c r="C104" s="9">
        <v>230078</v>
      </c>
      <c r="D104" s="9">
        <v>1</v>
      </c>
      <c r="E104" s="9">
        <v>36</v>
      </c>
      <c r="F104" s="9" t="s">
        <v>245</v>
      </c>
      <c r="G104" s="9">
        <v>10</v>
      </c>
      <c r="H104" s="9">
        <v>10</v>
      </c>
      <c r="I104" s="16" t="s">
        <v>31</v>
      </c>
      <c r="J104" s="16" t="s">
        <v>225</v>
      </c>
      <c r="K104" s="9">
        <f t="shared" si="32"/>
        <v>800</v>
      </c>
      <c r="L104" s="9">
        <v>3</v>
      </c>
      <c r="M104" s="9">
        <v>0</v>
      </c>
      <c r="N104" s="9">
        <f t="shared" si="33"/>
        <v>24</v>
      </c>
      <c r="O104" s="9">
        <v>5</v>
      </c>
      <c r="P104" s="9">
        <f t="shared" si="34"/>
        <v>8</v>
      </c>
      <c r="Q104" s="9">
        <f t="shared" si="25"/>
        <v>31</v>
      </c>
    </row>
    <row r="105" s="12" customFormat="1" customHeight="1" spans="3:17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="12" customFormat="1" customHeight="1" spans="3:17">
      <c r="C106" s="9"/>
      <c r="D106" s="9"/>
      <c r="E106" s="9"/>
      <c r="F106" s="9"/>
      <c r="G106" s="9"/>
      <c r="H106" s="12"/>
      <c r="I106" s="9"/>
      <c r="J106" s="9"/>
      <c r="K106" s="9"/>
      <c r="L106" s="9"/>
      <c r="M106" s="9"/>
      <c r="N106" s="9"/>
    </row>
    <row r="107" s="12" customFormat="1" customHeight="1" spans="3:17">
      <c r="C107" s="9"/>
      <c r="D107" s="9"/>
      <c r="E107" s="9"/>
      <c r="F107" s="9"/>
      <c r="G107" s="9"/>
      <c r="H107" s="12"/>
      <c r="I107" s="9"/>
      <c r="J107" s="9"/>
      <c r="K107" s="9"/>
      <c r="L107" s="9"/>
      <c r="M107" s="9"/>
      <c r="N107" s="9"/>
    </row>
    <row r="108" s="12" customFormat="1" customHeight="1" spans="3:17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="12" customFormat="1" customHeight="1" spans="3:17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="12" customFormat="1" customHeight="1" spans="3:17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4" s="12" customFormat="1" customHeight="1" spans="5:17">
      <c r="E114" s="9"/>
      <c r="H114" s="9"/>
      <c r="J114" s="9"/>
      <c r="K114" s="9"/>
      <c r="O114" s="9"/>
      <c r="P114" s="9"/>
      <c r="Q114" s="9"/>
    </row>
    <row r="115" s="12" customFormat="1" customHeight="1" spans="5:17">
      <c r="H115" s="9"/>
      <c r="O115" s="9"/>
      <c r="P115" s="9"/>
      <c r="Q115" s="9"/>
    </row>
    <row r="116" s="12" customFormat="1" customHeight="1" spans="5:17">
      <c r="H116" s="9"/>
      <c r="O116" s="9"/>
      <c r="P116" s="9"/>
      <c r="Q116" s="9"/>
    </row>
  </sheetData>
  <dataValidations count="1">
    <dataValidation type="custom" allowBlank="1" showErrorMessage="1" errorTitle="拒绝重复输入" error="当前输入的内容，与本区域的其他单元格内容重复。" sqref="C3:H5 K3:Q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Q116"/>
  <sheetViews>
    <sheetView topLeftCell="A65" workbookViewId="0">
      <selection activeCell="J101" sqref="J101"/>
    </sheetView>
  </sheetViews>
  <sheetFormatPr defaultColWidth="13" defaultRowHeight="18" customHeight="1"/>
  <cols>
    <col min="1" max="1" width="6.125" style="1" customWidth="1"/>
    <col min="2" max="2" width="6.5" style="1" customWidth="1"/>
    <col min="3" max="3" width="13" style="1" customWidth="1"/>
    <col min="4" max="4" width="11.25" style="1" customWidth="1"/>
    <col min="5" max="7" width="13" style="1" customWidth="1"/>
    <col min="8" max="8" width="12.5" style="1" customWidth="1"/>
    <col min="9" max="9" width="18" style="1" customWidth="1"/>
    <col min="10" max="10" width="19.125" style="1" customWidth="1"/>
    <col min="11" max="16380" width="13" style="1" customWidth="1"/>
    <col min="16381" max="16384" width="13" style="1"/>
  </cols>
  <sheetData>
    <row r="3" s="1" customFormat="1" customHeight="1" spans="1:17">
      <c r="A3" s="9"/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10" t="s">
        <v>6</v>
      </c>
      <c r="J3" s="11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</row>
    <row r="4" s="1" customFormat="1" customHeight="1" spans="1:17">
      <c r="A4" s="9"/>
      <c r="C4" s="7" t="s">
        <v>15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5</v>
      </c>
      <c r="I4" s="10" t="s">
        <v>16</v>
      </c>
      <c r="J4" s="11" t="s">
        <v>17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7" t="s">
        <v>14</v>
      </c>
    </row>
    <row r="5" s="1" customFormat="1" customHeight="1" spans="1:17">
      <c r="A5" s="9"/>
      <c r="C5" s="7" t="s">
        <v>18</v>
      </c>
      <c r="D5" s="7" t="s">
        <v>18</v>
      </c>
      <c r="E5" s="7" t="s">
        <v>18</v>
      </c>
      <c r="F5" s="7" t="s">
        <v>19</v>
      </c>
      <c r="G5" s="7" t="s">
        <v>18</v>
      </c>
      <c r="H5" s="7" t="s">
        <v>20</v>
      </c>
      <c r="I5" s="10" t="s">
        <v>20</v>
      </c>
      <c r="J5" s="11" t="s">
        <v>21</v>
      </c>
      <c r="K5" s="7" t="s">
        <v>22</v>
      </c>
      <c r="L5" s="7" t="s">
        <v>18</v>
      </c>
      <c r="M5" s="7" t="s">
        <v>18</v>
      </c>
      <c r="N5" s="7" t="s">
        <v>18</v>
      </c>
      <c r="O5" s="7" t="s">
        <v>18</v>
      </c>
      <c r="P5" s="7" t="s">
        <v>22</v>
      </c>
      <c r="Q5" s="7" t="s">
        <v>22</v>
      </c>
    </row>
    <row r="6" s="1" customFormat="1" customHeight="1" spans="1:17">
      <c r="C6" s="1">
        <v>210081</v>
      </c>
      <c r="D6" s="1">
        <v>1</v>
      </c>
      <c r="E6" s="1">
        <v>41</v>
      </c>
      <c r="F6" s="1" t="s">
        <v>246</v>
      </c>
      <c r="G6" s="1">
        <v>1</v>
      </c>
      <c r="H6" s="1">
        <v>1</v>
      </c>
      <c r="I6" s="17" t="s">
        <v>24</v>
      </c>
      <c r="J6" s="17" t="s">
        <v>247</v>
      </c>
      <c r="K6" s="9">
        <f>(E6-1)/5*300+300</f>
        <v>2700</v>
      </c>
      <c r="L6" s="1">
        <v>1</v>
      </c>
      <c r="M6" s="1">
        <v>0</v>
      </c>
      <c r="N6" s="1">
        <f>(E6-1)/5*3+1</f>
        <v>25</v>
      </c>
      <c r="O6" s="1">
        <v>5</v>
      </c>
      <c r="P6" s="9">
        <f>((E6-1)/5+1)*2</f>
        <v>18</v>
      </c>
      <c r="Q6" s="1">
        <f t="shared" ref="Q6:Q29" si="0">(E6-1)/5*3+10</f>
        <v>34</v>
      </c>
    </row>
    <row r="7" s="1" customFormat="1" customHeight="1" spans="1:17">
      <c r="C7" s="1">
        <v>210082</v>
      </c>
      <c r="D7" s="1">
        <v>1</v>
      </c>
      <c r="E7" s="1">
        <v>41</v>
      </c>
      <c r="F7" s="1" t="s">
        <v>248</v>
      </c>
      <c r="G7" s="1">
        <v>2</v>
      </c>
      <c r="H7" s="1">
        <v>2</v>
      </c>
      <c r="I7" s="17" t="s">
        <v>27</v>
      </c>
      <c r="J7" s="17" t="s">
        <v>247</v>
      </c>
      <c r="K7" s="9">
        <f>(E7-1)/5*300+300</f>
        <v>2700</v>
      </c>
      <c r="L7" s="1">
        <v>1</v>
      </c>
      <c r="M7" s="1">
        <v>0</v>
      </c>
      <c r="N7" s="1">
        <f>(E7-1)/5*3+2</f>
        <v>26</v>
      </c>
      <c r="O7" s="1">
        <v>5</v>
      </c>
      <c r="P7" s="9">
        <f>((E7-1)/5+1)*2</f>
        <v>18</v>
      </c>
      <c r="Q7" s="1">
        <f t="shared" si="0"/>
        <v>34</v>
      </c>
    </row>
    <row r="8" s="1" customFormat="1" customHeight="1" spans="1:17">
      <c r="C8" s="1">
        <v>210083</v>
      </c>
      <c r="D8" s="1">
        <v>1</v>
      </c>
      <c r="E8" s="1">
        <v>41</v>
      </c>
      <c r="F8" s="1" t="s">
        <v>249</v>
      </c>
      <c r="G8" s="1">
        <v>3</v>
      </c>
      <c r="H8" s="1">
        <v>3</v>
      </c>
      <c r="I8" s="17" t="s">
        <v>24</v>
      </c>
      <c r="J8" s="17" t="s">
        <v>250</v>
      </c>
      <c r="K8" s="9">
        <f t="shared" ref="K8:K13" si="1">(E8-1)/5*100+100</f>
        <v>900</v>
      </c>
      <c r="L8" s="1">
        <v>1</v>
      </c>
      <c r="M8" s="1">
        <v>0</v>
      </c>
      <c r="N8" s="1">
        <f t="shared" ref="N8:N13" si="2">(E8-1)/5*3+3</f>
        <v>27</v>
      </c>
      <c r="O8" s="1">
        <v>5</v>
      </c>
      <c r="P8" s="9">
        <f t="shared" ref="P8:P13" si="3">((E8-1)/5+1)*1</f>
        <v>9</v>
      </c>
      <c r="Q8" s="1">
        <f t="shared" si="0"/>
        <v>34</v>
      </c>
    </row>
    <row r="9" s="1" customFormat="1" customHeight="1" spans="1:17">
      <c r="C9" s="1">
        <v>210084</v>
      </c>
      <c r="D9" s="1">
        <v>1</v>
      </c>
      <c r="E9" s="1">
        <v>41</v>
      </c>
      <c r="F9" s="1" t="s">
        <v>251</v>
      </c>
      <c r="G9" s="1">
        <v>4</v>
      </c>
      <c r="H9" s="1">
        <v>4</v>
      </c>
      <c r="I9" s="17" t="s">
        <v>31</v>
      </c>
      <c r="J9" s="17" t="s">
        <v>252</v>
      </c>
      <c r="K9" s="9">
        <f t="shared" si="1"/>
        <v>900</v>
      </c>
      <c r="L9" s="1">
        <v>1</v>
      </c>
      <c r="M9" s="1">
        <v>0</v>
      </c>
      <c r="N9" s="1">
        <f t="shared" si="2"/>
        <v>27</v>
      </c>
      <c r="O9" s="1">
        <v>5</v>
      </c>
      <c r="P9" s="9">
        <f t="shared" si="3"/>
        <v>9</v>
      </c>
      <c r="Q9" s="1">
        <f t="shared" si="0"/>
        <v>34</v>
      </c>
    </row>
    <row r="10" s="1" customFormat="1" customHeight="1" spans="1:17">
      <c r="C10" s="1">
        <v>210085</v>
      </c>
      <c r="D10" s="1">
        <v>1</v>
      </c>
      <c r="E10" s="1">
        <v>41</v>
      </c>
      <c r="F10" s="1" t="s">
        <v>253</v>
      </c>
      <c r="G10" s="1">
        <v>5</v>
      </c>
      <c r="H10" s="17" t="s">
        <v>34</v>
      </c>
      <c r="I10" s="17" t="s">
        <v>31</v>
      </c>
      <c r="J10" s="17" t="s">
        <v>252</v>
      </c>
      <c r="K10" s="9">
        <f t="shared" si="1"/>
        <v>900</v>
      </c>
      <c r="L10" s="1">
        <v>1</v>
      </c>
      <c r="M10" s="1">
        <v>0</v>
      </c>
      <c r="N10" s="1">
        <f t="shared" si="2"/>
        <v>27</v>
      </c>
      <c r="O10" s="1">
        <v>5</v>
      </c>
      <c r="P10" s="9">
        <f t="shared" si="3"/>
        <v>9</v>
      </c>
      <c r="Q10" s="1">
        <f t="shared" si="0"/>
        <v>34</v>
      </c>
    </row>
    <row r="11" s="1" customFormat="1" customHeight="1" spans="1:17">
      <c r="C11" s="1">
        <v>210086</v>
      </c>
      <c r="D11" s="1">
        <v>1</v>
      </c>
      <c r="E11" s="1">
        <v>41</v>
      </c>
      <c r="F11" s="1" t="s">
        <v>254</v>
      </c>
      <c r="G11" s="1">
        <v>7</v>
      </c>
      <c r="H11" s="17" t="s">
        <v>36</v>
      </c>
      <c r="I11" s="17" t="s">
        <v>24</v>
      </c>
      <c r="J11" s="17" t="s">
        <v>250</v>
      </c>
      <c r="K11" s="9">
        <f t="shared" si="1"/>
        <v>900</v>
      </c>
      <c r="L11" s="1">
        <v>1</v>
      </c>
      <c r="M11" s="1">
        <v>0</v>
      </c>
      <c r="N11" s="1">
        <f t="shared" si="2"/>
        <v>27</v>
      </c>
      <c r="O11" s="1">
        <v>5</v>
      </c>
      <c r="P11" s="9">
        <f t="shared" si="3"/>
        <v>9</v>
      </c>
      <c r="Q11" s="1">
        <f t="shared" si="0"/>
        <v>34</v>
      </c>
    </row>
    <row r="12" s="1" customFormat="1" customHeight="1" spans="1:17">
      <c r="C12" s="1">
        <v>210087</v>
      </c>
      <c r="D12" s="1">
        <v>1</v>
      </c>
      <c r="E12" s="1">
        <v>41</v>
      </c>
      <c r="F12" s="1" t="s">
        <v>255</v>
      </c>
      <c r="G12" s="1">
        <v>9</v>
      </c>
      <c r="H12" s="1">
        <v>9</v>
      </c>
      <c r="I12" s="17" t="s">
        <v>27</v>
      </c>
      <c r="J12" s="17" t="s">
        <v>250</v>
      </c>
      <c r="K12" s="9">
        <f t="shared" si="1"/>
        <v>900</v>
      </c>
      <c r="L12" s="1">
        <v>1</v>
      </c>
      <c r="M12" s="1">
        <v>0</v>
      </c>
      <c r="N12" s="1">
        <f t="shared" si="2"/>
        <v>27</v>
      </c>
      <c r="O12" s="1">
        <v>5</v>
      </c>
      <c r="P12" s="9">
        <f t="shared" si="3"/>
        <v>9</v>
      </c>
      <c r="Q12" s="1">
        <f t="shared" si="0"/>
        <v>34</v>
      </c>
    </row>
    <row r="13" s="1" customFormat="1" customHeight="1" spans="1:17">
      <c r="C13" s="1">
        <v>210088</v>
      </c>
      <c r="D13" s="1">
        <v>1</v>
      </c>
      <c r="E13" s="1">
        <v>41</v>
      </c>
      <c r="F13" s="1" t="s">
        <v>256</v>
      </c>
      <c r="G13" s="1">
        <v>10</v>
      </c>
      <c r="H13" s="1">
        <v>10</v>
      </c>
      <c r="I13" s="17" t="s">
        <v>31</v>
      </c>
      <c r="J13" s="17" t="s">
        <v>252</v>
      </c>
      <c r="K13" s="9">
        <f t="shared" si="1"/>
        <v>900</v>
      </c>
      <c r="L13" s="1">
        <v>1</v>
      </c>
      <c r="M13" s="1">
        <v>0</v>
      </c>
      <c r="N13" s="1">
        <f t="shared" si="2"/>
        <v>27</v>
      </c>
      <c r="O13" s="1">
        <v>5</v>
      </c>
      <c r="P13" s="9">
        <f t="shared" si="3"/>
        <v>9</v>
      </c>
      <c r="Q13" s="1">
        <f t="shared" si="0"/>
        <v>34</v>
      </c>
    </row>
    <row r="14" s="1" customFormat="1" customHeight="1" spans="1:17">
      <c r="C14" s="1">
        <v>220081</v>
      </c>
      <c r="D14" s="1">
        <v>1</v>
      </c>
      <c r="E14" s="1">
        <v>41</v>
      </c>
      <c r="F14" s="1" t="s">
        <v>257</v>
      </c>
      <c r="G14" s="1">
        <v>1</v>
      </c>
      <c r="H14" s="1">
        <v>1</v>
      </c>
      <c r="I14" s="17" t="s">
        <v>40</v>
      </c>
      <c r="J14" s="17" t="s">
        <v>247</v>
      </c>
      <c r="K14" s="9">
        <f>(E14-1)/5*300+300</f>
        <v>2700</v>
      </c>
      <c r="L14" s="1">
        <v>2</v>
      </c>
      <c r="M14" s="1">
        <v>0</v>
      </c>
      <c r="N14" s="1">
        <f>(E14-1)/5*3+1</f>
        <v>25</v>
      </c>
      <c r="O14" s="1">
        <v>5</v>
      </c>
      <c r="P14" s="9">
        <f>((E14-1)/5+1)*2</f>
        <v>18</v>
      </c>
      <c r="Q14" s="1">
        <f t="shared" si="0"/>
        <v>34</v>
      </c>
    </row>
    <row r="15" s="1" customFormat="1" customHeight="1" spans="1:17">
      <c r="C15" s="1">
        <v>220082</v>
      </c>
      <c r="D15" s="1">
        <v>1</v>
      </c>
      <c r="E15" s="1">
        <v>41</v>
      </c>
      <c r="F15" s="1" t="s">
        <v>258</v>
      </c>
      <c r="G15" s="1">
        <v>2</v>
      </c>
      <c r="H15" s="1">
        <v>2</v>
      </c>
      <c r="I15" s="17" t="s">
        <v>27</v>
      </c>
      <c r="J15" s="17" t="s">
        <v>247</v>
      </c>
      <c r="K15" s="9">
        <f>(E15-1)/5*300+300</f>
        <v>2700</v>
      </c>
      <c r="L15" s="1">
        <v>2</v>
      </c>
      <c r="M15" s="1">
        <v>0</v>
      </c>
      <c r="N15" s="1">
        <f>(E15-1)/5*3+2</f>
        <v>26</v>
      </c>
      <c r="O15" s="1">
        <v>5</v>
      </c>
      <c r="P15" s="9">
        <f>((E15-1)/5+1)*2</f>
        <v>18</v>
      </c>
      <c r="Q15" s="1">
        <f t="shared" si="0"/>
        <v>34</v>
      </c>
    </row>
    <row r="16" s="1" customFormat="1" customHeight="1" spans="1:17">
      <c r="C16" s="1">
        <v>220083</v>
      </c>
      <c r="D16" s="1">
        <v>1</v>
      </c>
      <c r="E16" s="1">
        <v>41</v>
      </c>
      <c r="F16" s="1" t="s">
        <v>259</v>
      </c>
      <c r="G16" s="1">
        <v>3</v>
      </c>
      <c r="H16" s="1">
        <v>3</v>
      </c>
      <c r="I16" s="17" t="s">
        <v>40</v>
      </c>
      <c r="J16" s="17" t="s">
        <v>250</v>
      </c>
      <c r="K16" s="9">
        <f t="shared" ref="K16:K21" si="4">(E16-1)/5*100+100</f>
        <v>900</v>
      </c>
      <c r="L16" s="1">
        <v>2</v>
      </c>
      <c r="M16" s="1">
        <v>0</v>
      </c>
      <c r="N16" s="1">
        <f t="shared" ref="N16:N21" si="5">(E16-1)/5*3+3</f>
        <v>27</v>
      </c>
      <c r="O16" s="1">
        <v>5</v>
      </c>
      <c r="P16" s="9">
        <f t="shared" ref="P16:P21" si="6">((E16-1)/5+1)*1</f>
        <v>9</v>
      </c>
      <c r="Q16" s="1">
        <f t="shared" si="0"/>
        <v>34</v>
      </c>
    </row>
    <row r="17" s="1" customFormat="1" customHeight="1" spans="3:17">
      <c r="C17" s="1">
        <v>220084</v>
      </c>
      <c r="D17" s="1">
        <v>1</v>
      </c>
      <c r="E17" s="1">
        <v>41</v>
      </c>
      <c r="F17" s="1" t="s">
        <v>260</v>
      </c>
      <c r="G17" s="1">
        <v>4</v>
      </c>
      <c r="H17" s="1">
        <v>4</v>
      </c>
      <c r="I17" s="17" t="s">
        <v>31</v>
      </c>
      <c r="J17" s="17" t="s">
        <v>252</v>
      </c>
      <c r="K17" s="9">
        <f t="shared" si="4"/>
        <v>900</v>
      </c>
      <c r="L17" s="1">
        <v>2</v>
      </c>
      <c r="M17" s="1">
        <v>0</v>
      </c>
      <c r="N17" s="1">
        <f t="shared" si="5"/>
        <v>27</v>
      </c>
      <c r="O17" s="1">
        <v>5</v>
      </c>
      <c r="P17" s="9">
        <f t="shared" si="6"/>
        <v>9</v>
      </c>
      <c r="Q17" s="1">
        <f t="shared" si="0"/>
        <v>34</v>
      </c>
    </row>
    <row r="18" s="1" customFormat="1" customHeight="1" spans="3:17">
      <c r="C18" s="1">
        <v>220085</v>
      </c>
      <c r="D18" s="1">
        <v>1</v>
      </c>
      <c r="E18" s="1">
        <v>41</v>
      </c>
      <c r="F18" s="1" t="s">
        <v>261</v>
      </c>
      <c r="G18" s="1">
        <v>5</v>
      </c>
      <c r="H18" s="17" t="s">
        <v>34</v>
      </c>
      <c r="I18" s="17" t="s">
        <v>31</v>
      </c>
      <c r="J18" s="17" t="s">
        <v>252</v>
      </c>
      <c r="K18" s="9">
        <f t="shared" si="4"/>
        <v>900</v>
      </c>
      <c r="L18" s="1">
        <v>2</v>
      </c>
      <c r="M18" s="1">
        <v>0</v>
      </c>
      <c r="N18" s="1">
        <f t="shared" si="5"/>
        <v>27</v>
      </c>
      <c r="O18" s="1">
        <v>5</v>
      </c>
      <c r="P18" s="9">
        <f t="shared" si="6"/>
        <v>9</v>
      </c>
      <c r="Q18" s="1">
        <f t="shared" si="0"/>
        <v>34</v>
      </c>
    </row>
    <row r="19" s="1" customFormat="1" customHeight="1" spans="3:17">
      <c r="C19" s="1">
        <v>220086</v>
      </c>
      <c r="D19" s="1">
        <v>1</v>
      </c>
      <c r="E19" s="1">
        <v>41</v>
      </c>
      <c r="F19" s="1" t="s">
        <v>262</v>
      </c>
      <c r="G19" s="1">
        <v>7</v>
      </c>
      <c r="H19" s="17" t="s">
        <v>36</v>
      </c>
      <c r="I19" s="17" t="s">
        <v>40</v>
      </c>
      <c r="J19" s="17" t="s">
        <v>250</v>
      </c>
      <c r="K19" s="9">
        <f t="shared" si="4"/>
        <v>900</v>
      </c>
      <c r="L19" s="1">
        <v>2</v>
      </c>
      <c r="M19" s="1">
        <v>0</v>
      </c>
      <c r="N19" s="1">
        <f t="shared" si="5"/>
        <v>27</v>
      </c>
      <c r="O19" s="1">
        <v>5</v>
      </c>
      <c r="P19" s="9">
        <f t="shared" si="6"/>
        <v>9</v>
      </c>
      <c r="Q19" s="1">
        <f t="shared" si="0"/>
        <v>34</v>
      </c>
    </row>
    <row r="20" s="1" customFormat="1" customHeight="1" spans="3:17">
      <c r="C20" s="1">
        <v>220087</v>
      </c>
      <c r="D20" s="1">
        <v>1</v>
      </c>
      <c r="E20" s="1">
        <v>41</v>
      </c>
      <c r="F20" s="1" t="s">
        <v>263</v>
      </c>
      <c r="G20" s="1">
        <v>9</v>
      </c>
      <c r="H20" s="1">
        <v>9</v>
      </c>
      <c r="I20" s="17" t="s">
        <v>27</v>
      </c>
      <c r="J20" s="17" t="s">
        <v>250</v>
      </c>
      <c r="K20" s="9">
        <f t="shared" si="4"/>
        <v>900</v>
      </c>
      <c r="L20" s="1">
        <v>2</v>
      </c>
      <c r="M20" s="1">
        <v>0</v>
      </c>
      <c r="N20" s="1">
        <f t="shared" si="5"/>
        <v>27</v>
      </c>
      <c r="O20" s="1">
        <v>5</v>
      </c>
      <c r="P20" s="9">
        <f t="shared" si="6"/>
        <v>9</v>
      </c>
      <c r="Q20" s="1">
        <f t="shared" si="0"/>
        <v>34</v>
      </c>
    </row>
    <row r="21" s="1" customFormat="1" customHeight="1" spans="3:17">
      <c r="C21" s="1">
        <v>220088</v>
      </c>
      <c r="D21" s="1">
        <v>1</v>
      </c>
      <c r="E21" s="1">
        <v>41</v>
      </c>
      <c r="F21" s="1" t="s">
        <v>264</v>
      </c>
      <c r="G21" s="1">
        <v>10</v>
      </c>
      <c r="H21" s="1">
        <v>10</v>
      </c>
      <c r="I21" s="17" t="s">
        <v>31</v>
      </c>
      <c r="J21" s="17" t="s">
        <v>252</v>
      </c>
      <c r="K21" s="9">
        <f t="shared" si="4"/>
        <v>900</v>
      </c>
      <c r="L21" s="1">
        <v>2</v>
      </c>
      <c r="M21" s="1">
        <v>0</v>
      </c>
      <c r="N21" s="1">
        <f t="shared" si="5"/>
        <v>27</v>
      </c>
      <c r="O21" s="1">
        <v>5</v>
      </c>
      <c r="P21" s="9">
        <f t="shared" si="6"/>
        <v>9</v>
      </c>
      <c r="Q21" s="1">
        <f t="shared" si="0"/>
        <v>34</v>
      </c>
    </row>
    <row r="22" s="1" customFormat="1" customHeight="1" spans="3:17">
      <c r="C22" s="1">
        <v>230081</v>
      </c>
      <c r="D22" s="1">
        <v>1</v>
      </c>
      <c r="E22" s="1">
        <v>41</v>
      </c>
      <c r="F22" s="1" t="s">
        <v>265</v>
      </c>
      <c r="G22" s="1">
        <v>1</v>
      </c>
      <c r="H22" s="1">
        <v>1</v>
      </c>
      <c r="I22" s="17" t="s">
        <v>49</v>
      </c>
      <c r="J22" s="17" t="s">
        <v>247</v>
      </c>
      <c r="K22" s="9">
        <f>(E22-1)/5*300+300</f>
        <v>2700</v>
      </c>
      <c r="L22" s="1">
        <v>3</v>
      </c>
      <c r="M22" s="1">
        <v>0</v>
      </c>
      <c r="N22" s="1">
        <f>(E22-1)/5*3+1</f>
        <v>25</v>
      </c>
      <c r="O22" s="1">
        <v>5</v>
      </c>
      <c r="P22" s="9">
        <f>((E22-1)/5+1)*2</f>
        <v>18</v>
      </c>
      <c r="Q22" s="1">
        <f t="shared" si="0"/>
        <v>34</v>
      </c>
    </row>
    <row r="23" s="1" customFormat="1" customHeight="1" spans="3:17">
      <c r="C23" s="1">
        <v>230082</v>
      </c>
      <c r="D23" s="1">
        <v>1</v>
      </c>
      <c r="E23" s="1">
        <v>41</v>
      </c>
      <c r="F23" s="1" t="s">
        <v>266</v>
      </c>
      <c r="G23" s="1">
        <v>2</v>
      </c>
      <c r="H23" s="1">
        <v>2</v>
      </c>
      <c r="I23" s="17" t="s">
        <v>27</v>
      </c>
      <c r="J23" s="17" t="s">
        <v>247</v>
      </c>
      <c r="K23" s="9">
        <f>(E23-1)/5*300+300</f>
        <v>2700</v>
      </c>
      <c r="L23" s="1">
        <v>3</v>
      </c>
      <c r="M23" s="1">
        <v>0</v>
      </c>
      <c r="N23" s="1">
        <f>(E23-1)/5*3+2</f>
        <v>26</v>
      </c>
      <c r="O23" s="1">
        <v>5</v>
      </c>
      <c r="P23" s="9">
        <f>((E23-1)/5+1)*2</f>
        <v>18</v>
      </c>
      <c r="Q23" s="1">
        <f t="shared" si="0"/>
        <v>34</v>
      </c>
    </row>
    <row r="24" s="1" customFormat="1" customHeight="1" spans="3:17">
      <c r="C24" s="1">
        <v>230083</v>
      </c>
      <c r="D24" s="1">
        <v>1</v>
      </c>
      <c r="E24" s="1">
        <v>41</v>
      </c>
      <c r="F24" s="1" t="s">
        <v>267</v>
      </c>
      <c r="G24" s="1">
        <v>3</v>
      </c>
      <c r="H24" s="1">
        <v>3</v>
      </c>
      <c r="I24" s="17" t="s">
        <v>49</v>
      </c>
      <c r="J24" s="17" t="s">
        <v>250</v>
      </c>
      <c r="K24" s="9">
        <f t="shared" ref="K24:K29" si="7">(E24-1)/5*100+100</f>
        <v>900</v>
      </c>
      <c r="L24" s="1">
        <v>3</v>
      </c>
      <c r="M24" s="1">
        <v>0</v>
      </c>
      <c r="N24" s="1">
        <f t="shared" ref="N24:N29" si="8">(E24-1)/5*3+3</f>
        <v>27</v>
      </c>
      <c r="O24" s="1">
        <v>5</v>
      </c>
      <c r="P24" s="9">
        <f t="shared" ref="P24:P29" si="9">((E24-1)/5+1)*1</f>
        <v>9</v>
      </c>
      <c r="Q24" s="1">
        <f t="shared" si="0"/>
        <v>34</v>
      </c>
    </row>
    <row r="25" s="1" customFormat="1" customHeight="1" spans="3:17">
      <c r="C25" s="1">
        <v>230084</v>
      </c>
      <c r="D25" s="1">
        <v>1</v>
      </c>
      <c r="E25" s="1">
        <v>41</v>
      </c>
      <c r="F25" s="1" t="s">
        <v>268</v>
      </c>
      <c r="G25" s="1">
        <v>4</v>
      </c>
      <c r="H25" s="1">
        <v>4</v>
      </c>
      <c r="I25" s="17" t="s">
        <v>31</v>
      </c>
      <c r="J25" s="17" t="s">
        <v>252</v>
      </c>
      <c r="K25" s="9">
        <f t="shared" si="7"/>
        <v>900</v>
      </c>
      <c r="L25" s="1">
        <v>3</v>
      </c>
      <c r="M25" s="1">
        <v>0</v>
      </c>
      <c r="N25" s="1">
        <f t="shared" si="8"/>
        <v>27</v>
      </c>
      <c r="O25" s="1">
        <v>5</v>
      </c>
      <c r="P25" s="9">
        <f t="shared" si="9"/>
        <v>9</v>
      </c>
      <c r="Q25" s="1">
        <f t="shared" si="0"/>
        <v>34</v>
      </c>
    </row>
    <row r="26" s="1" customFormat="1" customHeight="1" spans="3:17">
      <c r="C26" s="1">
        <v>230085</v>
      </c>
      <c r="D26" s="1">
        <v>1</v>
      </c>
      <c r="E26" s="1">
        <v>41</v>
      </c>
      <c r="F26" s="1" t="s">
        <v>269</v>
      </c>
      <c r="G26" s="1">
        <v>5</v>
      </c>
      <c r="H26" s="17" t="s">
        <v>34</v>
      </c>
      <c r="I26" s="17" t="s">
        <v>31</v>
      </c>
      <c r="J26" s="17" t="s">
        <v>252</v>
      </c>
      <c r="K26" s="9">
        <f t="shared" si="7"/>
        <v>900</v>
      </c>
      <c r="L26" s="1">
        <v>3</v>
      </c>
      <c r="M26" s="1">
        <v>0</v>
      </c>
      <c r="N26" s="1">
        <f t="shared" si="8"/>
        <v>27</v>
      </c>
      <c r="O26" s="1">
        <v>5</v>
      </c>
      <c r="P26" s="9">
        <f t="shared" si="9"/>
        <v>9</v>
      </c>
      <c r="Q26" s="1">
        <f t="shared" si="0"/>
        <v>34</v>
      </c>
    </row>
    <row r="27" s="1" customFormat="1" customHeight="1" spans="3:17">
      <c r="C27" s="1">
        <v>230086</v>
      </c>
      <c r="D27" s="1">
        <v>1</v>
      </c>
      <c r="E27" s="1">
        <v>41</v>
      </c>
      <c r="F27" s="1" t="s">
        <v>270</v>
      </c>
      <c r="G27" s="1">
        <v>7</v>
      </c>
      <c r="H27" s="17" t="s">
        <v>36</v>
      </c>
      <c r="I27" s="17" t="s">
        <v>49</v>
      </c>
      <c r="J27" s="17" t="s">
        <v>250</v>
      </c>
      <c r="K27" s="9">
        <f t="shared" si="7"/>
        <v>900</v>
      </c>
      <c r="L27" s="1">
        <v>3</v>
      </c>
      <c r="M27" s="1">
        <v>0</v>
      </c>
      <c r="N27" s="1">
        <f t="shared" si="8"/>
        <v>27</v>
      </c>
      <c r="O27" s="1">
        <v>5</v>
      </c>
      <c r="P27" s="9">
        <f t="shared" si="9"/>
        <v>9</v>
      </c>
      <c r="Q27" s="1">
        <f t="shared" si="0"/>
        <v>34</v>
      </c>
    </row>
    <row r="28" s="1" customFormat="1" customHeight="1" spans="3:17">
      <c r="C28" s="1">
        <v>230087</v>
      </c>
      <c r="D28" s="1">
        <v>1</v>
      </c>
      <c r="E28" s="1">
        <v>41</v>
      </c>
      <c r="F28" s="1" t="s">
        <v>271</v>
      </c>
      <c r="G28" s="1">
        <v>9</v>
      </c>
      <c r="H28" s="1">
        <v>9</v>
      </c>
      <c r="I28" s="17" t="s">
        <v>27</v>
      </c>
      <c r="J28" s="17" t="s">
        <v>250</v>
      </c>
      <c r="K28" s="9">
        <f t="shared" si="7"/>
        <v>900</v>
      </c>
      <c r="L28" s="1">
        <v>3</v>
      </c>
      <c r="M28" s="1">
        <v>0</v>
      </c>
      <c r="N28" s="1">
        <f t="shared" si="8"/>
        <v>27</v>
      </c>
      <c r="O28" s="1">
        <v>5</v>
      </c>
      <c r="P28" s="9">
        <f t="shared" si="9"/>
        <v>9</v>
      </c>
      <c r="Q28" s="1">
        <f t="shared" si="0"/>
        <v>34</v>
      </c>
    </row>
    <row r="29" s="1" customFormat="1" customHeight="1" spans="3:17">
      <c r="C29" s="1">
        <v>230088</v>
      </c>
      <c r="D29" s="1">
        <v>1</v>
      </c>
      <c r="E29" s="1">
        <v>41</v>
      </c>
      <c r="F29" s="1" t="s">
        <v>272</v>
      </c>
      <c r="G29" s="1">
        <v>10</v>
      </c>
      <c r="H29" s="1">
        <v>10</v>
      </c>
      <c r="I29" s="17" t="s">
        <v>31</v>
      </c>
      <c r="J29" s="17" t="s">
        <v>252</v>
      </c>
      <c r="K29" s="9">
        <f t="shared" si="7"/>
        <v>900</v>
      </c>
      <c r="L29" s="1">
        <v>3</v>
      </c>
      <c r="M29" s="1">
        <v>0</v>
      </c>
      <c r="N29" s="1">
        <f t="shared" si="8"/>
        <v>27</v>
      </c>
      <c r="O29" s="1">
        <v>5</v>
      </c>
      <c r="P29" s="9">
        <f t="shared" si="9"/>
        <v>9</v>
      </c>
      <c r="Q29" s="1">
        <f t="shared" si="0"/>
        <v>34</v>
      </c>
    </row>
    <row r="31" s="1" customFormat="1" customHeight="1" spans="3:17">
      <c r="C31" s="1">
        <v>210091</v>
      </c>
      <c r="D31" s="1">
        <v>1</v>
      </c>
      <c r="E31" s="1">
        <v>46</v>
      </c>
      <c r="F31" s="1" t="s">
        <v>273</v>
      </c>
      <c r="G31" s="1">
        <v>1</v>
      </c>
      <c r="H31" s="1">
        <v>1</v>
      </c>
      <c r="I31" s="17" t="s">
        <v>24</v>
      </c>
      <c r="J31" s="17" t="s">
        <v>274</v>
      </c>
      <c r="K31" s="9">
        <f>(E31-1)/5*300+300</f>
        <v>3000</v>
      </c>
      <c r="L31" s="1">
        <v>1</v>
      </c>
      <c r="M31" s="1">
        <v>0</v>
      </c>
      <c r="N31" s="1">
        <f>(E31-1)/5*3+1</f>
        <v>28</v>
      </c>
      <c r="O31" s="1">
        <v>5</v>
      </c>
      <c r="P31" s="9">
        <f>((E31-1)/5+1)*2</f>
        <v>20</v>
      </c>
      <c r="Q31" s="1">
        <f t="shared" ref="Q31:Q54" si="10">(E31-1)/5*3+10</f>
        <v>37</v>
      </c>
    </row>
    <row r="32" s="1" customFormat="1" customHeight="1" spans="3:17">
      <c r="C32" s="1">
        <v>210092</v>
      </c>
      <c r="D32" s="1">
        <v>1</v>
      </c>
      <c r="E32" s="1">
        <v>46</v>
      </c>
      <c r="F32" s="1" t="s">
        <v>275</v>
      </c>
      <c r="G32" s="1">
        <v>2</v>
      </c>
      <c r="H32" s="1">
        <v>2</v>
      </c>
      <c r="I32" s="17" t="s">
        <v>27</v>
      </c>
      <c r="J32" s="17" t="s">
        <v>274</v>
      </c>
      <c r="K32" s="9">
        <f>(E32-1)/5*300+300</f>
        <v>3000</v>
      </c>
      <c r="L32" s="1">
        <v>1</v>
      </c>
      <c r="M32" s="1">
        <v>0</v>
      </c>
      <c r="N32" s="1">
        <f>(E32-1)/5*3+2</f>
        <v>29</v>
      </c>
      <c r="O32" s="1">
        <v>5</v>
      </c>
      <c r="P32" s="9">
        <f>((E32-1)/5+1)*2</f>
        <v>20</v>
      </c>
      <c r="Q32" s="1">
        <f t="shared" si="10"/>
        <v>37</v>
      </c>
    </row>
    <row r="33" s="1" customFormat="1" customHeight="1" spans="3:17">
      <c r="C33" s="1">
        <v>210093</v>
      </c>
      <c r="D33" s="1">
        <v>1</v>
      </c>
      <c r="E33" s="1">
        <v>46</v>
      </c>
      <c r="F33" s="1" t="s">
        <v>276</v>
      </c>
      <c r="G33" s="1">
        <v>3</v>
      </c>
      <c r="H33" s="1">
        <v>3</v>
      </c>
      <c r="I33" s="17" t="s">
        <v>24</v>
      </c>
      <c r="J33" s="17" t="s">
        <v>277</v>
      </c>
      <c r="K33" s="9">
        <f t="shared" ref="K33:K38" si="11">(E33-1)/5*100+100</f>
        <v>1000</v>
      </c>
      <c r="L33" s="1">
        <v>1</v>
      </c>
      <c r="M33" s="1">
        <v>0</v>
      </c>
      <c r="N33" s="1">
        <f t="shared" ref="N33:N38" si="12">(E33-1)/5*3+3</f>
        <v>30</v>
      </c>
      <c r="O33" s="1">
        <v>5</v>
      </c>
      <c r="P33" s="9">
        <f t="shared" ref="P33:P38" si="13">((E33-1)/5+1)*1</f>
        <v>10</v>
      </c>
      <c r="Q33" s="1">
        <f t="shared" si="10"/>
        <v>37</v>
      </c>
    </row>
    <row r="34" s="1" customFormat="1" customHeight="1" spans="3:17">
      <c r="C34" s="1">
        <v>210094</v>
      </c>
      <c r="D34" s="1">
        <v>1</v>
      </c>
      <c r="E34" s="1">
        <v>46</v>
      </c>
      <c r="F34" s="1" t="s">
        <v>278</v>
      </c>
      <c r="G34" s="1">
        <v>4</v>
      </c>
      <c r="H34" s="1">
        <v>4</v>
      </c>
      <c r="I34" s="17" t="s">
        <v>31</v>
      </c>
      <c r="J34" s="17" t="s">
        <v>279</v>
      </c>
      <c r="K34" s="9">
        <f t="shared" si="11"/>
        <v>1000</v>
      </c>
      <c r="L34" s="1">
        <v>1</v>
      </c>
      <c r="M34" s="1">
        <v>0</v>
      </c>
      <c r="N34" s="1">
        <f t="shared" si="12"/>
        <v>30</v>
      </c>
      <c r="O34" s="1">
        <v>5</v>
      </c>
      <c r="P34" s="9">
        <f t="shared" si="13"/>
        <v>10</v>
      </c>
      <c r="Q34" s="1">
        <f t="shared" si="10"/>
        <v>37</v>
      </c>
    </row>
    <row r="35" s="1" customFormat="1" customHeight="1" spans="3:17">
      <c r="C35" s="1">
        <v>210095</v>
      </c>
      <c r="D35" s="1">
        <v>1</v>
      </c>
      <c r="E35" s="1">
        <v>46</v>
      </c>
      <c r="F35" s="1" t="s">
        <v>280</v>
      </c>
      <c r="G35" s="1">
        <v>5</v>
      </c>
      <c r="H35" s="17" t="s">
        <v>34</v>
      </c>
      <c r="I35" s="17" t="s">
        <v>31</v>
      </c>
      <c r="J35" s="17" t="s">
        <v>279</v>
      </c>
      <c r="K35" s="9">
        <f t="shared" si="11"/>
        <v>1000</v>
      </c>
      <c r="L35" s="1">
        <v>1</v>
      </c>
      <c r="M35" s="1">
        <v>0</v>
      </c>
      <c r="N35" s="1">
        <f t="shared" si="12"/>
        <v>30</v>
      </c>
      <c r="O35" s="1">
        <v>5</v>
      </c>
      <c r="P35" s="9">
        <f t="shared" si="13"/>
        <v>10</v>
      </c>
      <c r="Q35" s="1">
        <f t="shared" si="10"/>
        <v>37</v>
      </c>
    </row>
    <row r="36" s="1" customFormat="1" customHeight="1" spans="3:17">
      <c r="C36" s="1">
        <v>210096</v>
      </c>
      <c r="D36" s="1">
        <v>1</v>
      </c>
      <c r="E36" s="1">
        <v>46</v>
      </c>
      <c r="F36" s="1" t="s">
        <v>281</v>
      </c>
      <c r="G36" s="1">
        <v>7</v>
      </c>
      <c r="H36" s="17" t="s">
        <v>36</v>
      </c>
      <c r="I36" s="17" t="s">
        <v>24</v>
      </c>
      <c r="J36" s="17" t="s">
        <v>277</v>
      </c>
      <c r="K36" s="9">
        <f t="shared" si="11"/>
        <v>1000</v>
      </c>
      <c r="L36" s="1">
        <v>1</v>
      </c>
      <c r="M36" s="1">
        <v>0</v>
      </c>
      <c r="N36" s="1">
        <f t="shared" si="12"/>
        <v>30</v>
      </c>
      <c r="O36" s="1">
        <v>5</v>
      </c>
      <c r="P36" s="9">
        <f t="shared" si="13"/>
        <v>10</v>
      </c>
      <c r="Q36" s="1">
        <f t="shared" si="10"/>
        <v>37</v>
      </c>
    </row>
    <row r="37" s="1" customFormat="1" customHeight="1" spans="3:17">
      <c r="C37" s="1">
        <v>210097</v>
      </c>
      <c r="D37" s="1">
        <v>1</v>
      </c>
      <c r="E37" s="1">
        <v>46</v>
      </c>
      <c r="F37" s="1" t="s">
        <v>282</v>
      </c>
      <c r="G37" s="1">
        <v>9</v>
      </c>
      <c r="H37" s="1">
        <v>9</v>
      </c>
      <c r="I37" s="17" t="s">
        <v>27</v>
      </c>
      <c r="J37" s="17" t="s">
        <v>277</v>
      </c>
      <c r="K37" s="9">
        <f t="shared" si="11"/>
        <v>1000</v>
      </c>
      <c r="L37" s="1">
        <v>1</v>
      </c>
      <c r="M37" s="1">
        <v>0</v>
      </c>
      <c r="N37" s="1">
        <f t="shared" si="12"/>
        <v>30</v>
      </c>
      <c r="O37" s="1">
        <v>5</v>
      </c>
      <c r="P37" s="9">
        <f t="shared" si="13"/>
        <v>10</v>
      </c>
      <c r="Q37" s="1">
        <f t="shared" si="10"/>
        <v>37</v>
      </c>
    </row>
    <row r="38" customFormat="1" customHeight="1" spans="3:17">
      <c r="C38" s="1">
        <v>210098</v>
      </c>
      <c r="D38" s="1">
        <v>1</v>
      </c>
      <c r="E38" s="1">
        <v>46</v>
      </c>
      <c r="F38" s="1" t="s">
        <v>283</v>
      </c>
      <c r="G38" s="1">
        <v>10</v>
      </c>
      <c r="H38" s="1">
        <v>10</v>
      </c>
      <c r="I38" s="17" t="s">
        <v>31</v>
      </c>
      <c r="J38" s="17" t="s">
        <v>279</v>
      </c>
      <c r="K38" s="9">
        <f t="shared" si="11"/>
        <v>1000</v>
      </c>
      <c r="L38" s="1">
        <v>1</v>
      </c>
      <c r="M38" s="1">
        <v>0</v>
      </c>
      <c r="N38" s="1">
        <f t="shared" si="12"/>
        <v>30</v>
      </c>
      <c r="O38" s="1">
        <v>5</v>
      </c>
      <c r="P38" s="9">
        <f t="shared" si="13"/>
        <v>10</v>
      </c>
      <c r="Q38" s="1">
        <f t="shared" si="10"/>
        <v>37</v>
      </c>
    </row>
    <row r="39" customFormat="1" customHeight="1" spans="3:17">
      <c r="C39" s="1">
        <v>220091</v>
      </c>
      <c r="D39" s="1">
        <v>1</v>
      </c>
      <c r="E39" s="1">
        <v>46</v>
      </c>
      <c r="F39" s="1" t="s">
        <v>284</v>
      </c>
      <c r="G39" s="1">
        <v>1</v>
      </c>
      <c r="H39" s="1">
        <v>1</v>
      </c>
      <c r="I39" s="17" t="s">
        <v>40</v>
      </c>
      <c r="J39" s="17" t="s">
        <v>274</v>
      </c>
      <c r="K39" s="9">
        <f>(E39-1)/5*300+300</f>
        <v>3000</v>
      </c>
      <c r="L39" s="1">
        <v>2</v>
      </c>
      <c r="M39" s="1">
        <v>0</v>
      </c>
      <c r="N39" s="1">
        <f>(E39-1)/5*3+1</f>
        <v>28</v>
      </c>
      <c r="O39" s="1">
        <v>5</v>
      </c>
      <c r="P39" s="9">
        <f>((E39-1)/5+1)*2</f>
        <v>20</v>
      </c>
      <c r="Q39" s="1">
        <f t="shared" si="10"/>
        <v>37</v>
      </c>
    </row>
    <row r="40" customFormat="1" customHeight="1" spans="3:17">
      <c r="C40" s="1">
        <v>220092</v>
      </c>
      <c r="D40" s="1">
        <v>1</v>
      </c>
      <c r="E40" s="1">
        <v>46</v>
      </c>
      <c r="F40" s="1" t="s">
        <v>285</v>
      </c>
      <c r="G40" s="1">
        <v>2</v>
      </c>
      <c r="H40" s="1">
        <v>2</v>
      </c>
      <c r="I40" s="17" t="s">
        <v>27</v>
      </c>
      <c r="J40" s="17" t="s">
        <v>274</v>
      </c>
      <c r="K40" s="9">
        <f>(E40-1)/5*300+300</f>
        <v>3000</v>
      </c>
      <c r="L40" s="1">
        <v>2</v>
      </c>
      <c r="M40" s="1">
        <v>0</v>
      </c>
      <c r="N40" s="1">
        <f>(E40-1)/5*3+2</f>
        <v>29</v>
      </c>
      <c r="O40" s="1">
        <v>5</v>
      </c>
      <c r="P40" s="9">
        <f>((E40-1)/5+1)*2</f>
        <v>20</v>
      </c>
      <c r="Q40" s="1">
        <f t="shared" si="10"/>
        <v>37</v>
      </c>
    </row>
    <row r="41" customFormat="1" customHeight="1" spans="3:17">
      <c r="C41" s="1">
        <v>220093</v>
      </c>
      <c r="D41" s="1">
        <v>1</v>
      </c>
      <c r="E41" s="1">
        <v>46</v>
      </c>
      <c r="F41" s="1" t="s">
        <v>286</v>
      </c>
      <c r="G41" s="1">
        <v>3</v>
      </c>
      <c r="H41" s="1">
        <v>3</v>
      </c>
      <c r="I41" s="17" t="s">
        <v>40</v>
      </c>
      <c r="J41" s="17" t="s">
        <v>277</v>
      </c>
      <c r="K41" s="9">
        <f t="shared" ref="K41:K46" si="14">(E41-1)/5*100+100</f>
        <v>1000</v>
      </c>
      <c r="L41" s="1">
        <v>2</v>
      </c>
      <c r="M41" s="1">
        <v>0</v>
      </c>
      <c r="N41" s="1">
        <f t="shared" ref="N41:N46" si="15">(E41-1)/5*3+3</f>
        <v>30</v>
      </c>
      <c r="O41" s="1">
        <v>5</v>
      </c>
      <c r="P41" s="9">
        <f t="shared" ref="P41:P46" si="16">((E41-1)/5+1)*1</f>
        <v>10</v>
      </c>
      <c r="Q41" s="1">
        <f t="shared" si="10"/>
        <v>37</v>
      </c>
    </row>
    <row r="42" customFormat="1" customHeight="1" spans="3:17">
      <c r="C42" s="1">
        <v>220094</v>
      </c>
      <c r="D42" s="1">
        <v>1</v>
      </c>
      <c r="E42" s="1">
        <v>46</v>
      </c>
      <c r="F42" s="1" t="s">
        <v>287</v>
      </c>
      <c r="G42" s="1">
        <v>4</v>
      </c>
      <c r="H42" s="1">
        <v>4</v>
      </c>
      <c r="I42" s="17" t="s">
        <v>31</v>
      </c>
      <c r="J42" s="17" t="s">
        <v>279</v>
      </c>
      <c r="K42" s="9">
        <f t="shared" si="14"/>
        <v>1000</v>
      </c>
      <c r="L42" s="1">
        <v>2</v>
      </c>
      <c r="M42" s="1">
        <v>0</v>
      </c>
      <c r="N42" s="1">
        <f t="shared" si="15"/>
        <v>30</v>
      </c>
      <c r="O42" s="1">
        <v>5</v>
      </c>
      <c r="P42" s="9">
        <f t="shared" si="16"/>
        <v>10</v>
      </c>
      <c r="Q42" s="1">
        <f t="shared" si="10"/>
        <v>37</v>
      </c>
    </row>
    <row r="43" customFormat="1" customHeight="1" spans="3:17">
      <c r="C43" s="1">
        <v>220095</v>
      </c>
      <c r="D43" s="1">
        <v>1</v>
      </c>
      <c r="E43" s="1">
        <v>46</v>
      </c>
      <c r="F43" s="1" t="s">
        <v>288</v>
      </c>
      <c r="G43" s="1">
        <v>5</v>
      </c>
      <c r="H43" s="17" t="s">
        <v>34</v>
      </c>
      <c r="I43" s="17" t="s">
        <v>31</v>
      </c>
      <c r="J43" s="17" t="s">
        <v>279</v>
      </c>
      <c r="K43" s="9">
        <f t="shared" si="14"/>
        <v>1000</v>
      </c>
      <c r="L43" s="1">
        <v>2</v>
      </c>
      <c r="M43" s="1">
        <v>0</v>
      </c>
      <c r="N43" s="1">
        <f t="shared" si="15"/>
        <v>30</v>
      </c>
      <c r="O43" s="1">
        <v>5</v>
      </c>
      <c r="P43" s="9">
        <f t="shared" si="16"/>
        <v>10</v>
      </c>
      <c r="Q43" s="1">
        <f t="shared" si="10"/>
        <v>37</v>
      </c>
    </row>
    <row r="44" customFormat="1" customHeight="1" spans="3:17">
      <c r="C44" s="1">
        <v>220096</v>
      </c>
      <c r="D44" s="1">
        <v>1</v>
      </c>
      <c r="E44" s="1">
        <v>46</v>
      </c>
      <c r="F44" s="1" t="s">
        <v>289</v>
      </c>
      <c r="G44" s="1">
        <v>7</v>
      </c>
      <c r="H44" s="17" t="s">
        <v>36</v>
      </c>
      <c r="I44" s="17" t="s">
        <v>40</v>
      </c>
      <c r="J44" s="17" t="s">
        <v>277</v>
      </c>
      <c r="K44" s="9">
        <f t="shared" si="14"/>
        <v>1000</v>
      </c>
      <c r="L44" s="1">
        <v>2</v>
      </c>
      <c r="M44" s="1">
        <v>0</v>
      </c>
      <c r="N44" s="1">
        <f t="shared" si="15"/>
        <v>30</v>
      </c>
      <c r="O44" s="1">
        <v>5</v>
      </c>
      <c r="P44" s="9">
        <f t="shared" si="16"/>
        <v>10</v>
      </c>
      <c r="Q44" s="1">
        <f t="shared" si="10"/>
        <v>37</v>
      </c>
    </row>
    <row r="45" customFormat="1" customHeight="1" spans="3:17">
      <c r="C45" s="1">
        <v>220097</v>
      </c>
      <c r="D45" s="1">
        <v>1</v>
      </c>
      <c r="E45" s="1">
        <v>46</v>
      </c>
      <c r="F45" s="1" t="s">
        <v>290</v>
      </c>
      <c r="G45" s="1">
        <v>9</v>
      </c>
      <c r="H45" s="1">
        <v>9</v>
      </c>
      <c r="I45" s="17" t="s">
        <v>27</v>
      </c>
      <c r="J45" s="17" t="s">
        <v>277</v>
      </c>
      <c r="K45" s="9">
        <f t="shared" si="14"/>
        <v>1000</v>
      </c>
      <c r="L45" s="1">
        <v>2</v>
      </c>
      <c r="M45" s="1">
        <v>0</v>
      </c>
      <c r="N45" s="1">
        <f t="shared" si="15"/>
        <v>30</v>
      </c>
      <c r="O45" s="1">
        <v>5</v>
      </c>
      <c r="P45" s="9">
        <f t="shared" si="16"/>
        <v>10</v>
      </c>
      <c r="Q45" s="1">
        <f t="shared" si="10"/>
        <v>37</v>
      </c>
    </row>
    <row r="46" customFormat="1" customHeight="1" spans="3:17">
      <c r="C46" s="1">
        <v>220098</v>
      </c>
      <c r="D46" s="1">
        <v>1</v>
      </c>
      <c r="E46" s="1">
        <v>46</v>
      </c>
      <c r="F46" s="1" t="s">
        <v>291</v>
      </c>
      <c r="G46" s="1">
        <v>10</v>
      </c>
      <c r="H46" s="1">
        <v>10</v>
      </c>
      <c r="I46" s="17" t="s">
        <v>31</v>
      </c>
      <c r="J46" s="17" t="s">
        <v>279</v>
      </c>
      <c r="K46" s="9">
        <f t="shared" si="14"/>
        <v>1000</v>
      </c>
      <c r="L46" s="1">
        <v>2</v>
      </c>
      <c r="M46" s="1">
        <v>0</v>
      </c>
      <c r="N46" s="1">
        <f t="shared" si="15"/>
        <v>30</v>
      </c>
      <c r="O46" s="1">
        <v>5</v>
      </c>
      <c r="P46" s="9">
        <f t="shared" si="16"/>
        <v>10</v>
      </c>
      <c r="Q46" s="1">
        <f t="shared" si="10"/>
        <v>37</v>
      </c>
    </row>
    <row r="47" customFormat="1" customHeight="1" spans="3:17">
      <c r="C47" s="1">
        <v>230091</v>
      </c>
      <c r="D47" s="1">
        <v>1</v>
      </c>
      <c r="E47" s="1">
        <v>46</v>
      </c>
      <c r="F47" s="1" t="s">
        <v>292</v>
      </c>
      <c r="G47" s="1">
        <v>1</v>
      </c>
      <c r="H47" s="1">
        <v>1</v>
      </c>
      <c r="I47" s="17" t="s">
        <v>49</v>
      </c>
      <c r="J47" s="17" t="s">
        <v>274</v>
      </c>
      <c r="K47" s="9">
        <f>(E47-1)/5*300+300</f>
        <v>3000</v>
      </c>
      <c r="L47" s="1">
        <v>3</v>
      </c>
      <c r="M47" s="1">
        <v>0</v>
      </c>
      <c r="N47" s="1">
        <f>(E47-1)/5*3+1</f>
        <v>28</v>
      </c>
      <c r="O47" s="1">
        <v>5</v>
      </c>
      <c r="P47" s="9">
        <f>((E47-1)/5+1)*2</f>
        <v>20</v>
      </c>
      <c r="Q47" s="1">
        <f t="shared" si="10"/>
        <v>37</v>
      </c>
    </row>
    <row r="48" customFormat="1" customHeight="1" spans="3:17">
      <c r="C48" s="1">
        <v>230092</v>
      </c>
      <c r="D48" s="1">
        <v>1</v>
      </c>
      <c r="E48" s="1">
        <v>46</v>
      </c>
      <c r="F48" s="1" t="s">
        <v>293</v>
      </c>
      <c r="G48" s="1">
        <v>2</v>
      </c>
      <c r="H48" s="1">
        <v>2</v>
      </c>
      <c r="I48" s="17" t="s">
        <v>27</v>
      </c>
      <c r="J48" s="17" t="s">
        <v>274</v>
      </c>
      <c r="K48" s="9">
        <f>(E48-1)/5*300+300</f>
        <v>3000</v>
      </c>
      <c r="L48" s="1">
        <v>3</v>
      </c>
      <c r="M48" s="1">
        <v>0</v>
      </c>
      <c r="N48" s="1">
        <f>(E48-1)/5*3+2</f>
        <v>29</v>
      </c>
      <c r="O48" s="1">
        <v>5</v>
      </c>
      <c r="P48" s="9">
        <f>((E48-1)/5+1)*2</f>
        <v>20</v>
      </c>
      <c r="Q48" s="1">
        <f t="shared" si="10"/>
        <v>37</v>
      </c>
    </row>
    <row r="49" customFormat="1" customHeight="1" spans="3:17">
      <c r="C49" s="1">
        <v>230093</v>
      </c>
      <c r="D49" s="1">
        <v>1</v>
      </c>
      <c r="E49" s="1">
        <v>46</v>
      </c>
      <c r="F49" s="1" t="s">
        <v>294</v>
      </c>
      <c r="G49" s="1">
        <v>3</v>
      </c>
      <c r="H49" s="1">
        <v>3</v>
      </c>
      <c r="I49" s="17" t="s">
        <v>49</v>
      </c>
      <c r="J49" s="17" t="s">
        <v>277</v>
      </c>
      <c r="K49" s="9">
        <f t="shared" ref="K49:K54" si="17">(E49-1)/5*100+100</f>
        <v>1000</v>
      </c>
      <c r="L49" s="1">
        <v>3</v>
      </c>
      <c r="M49" s="1">
        <v>0</v>
      </c>
      <c r="N49" s="1">
        <f t="shared" ref="N49:N54" si="18">(E49-1)/5*3+3</f>
        <v>30</v>
      </c>
      <c r="O49" s="1">
        <v>5</v>
      </c>
      <c r="P49" s="9">
        <f t="shared" ref="P49:P54" si="19">((E49-1)/5+1)*1</f>
        <v>10</v>
      </c>
      <c r="Q49" s="1">
        <f t="shared" si="10"/>
        <v>37</v>
      </c>
    </row>
    <row r="50" customFormat="1" customHeight="1" spans="3:17">
      <c r="C50" s="1">
        <v>230094</v>
      </c>
      <c r="D50" s="1">
        <v>1</v>
      </c>
      <c r="E50" s="1">
        <v>46</v>
      </c>
      <c r="F50" s="1" t="s">
        <v>295</v>
      </c>
      <c r="G50" s="1">
        <v>4</v>
      </c>
      <c r="H50" s="1">
        <v>4</v>
      </c>
      <c r="I50" s="17" t="s">
        <v>31</v>
      </c>
      <c r="J50" s="17" t="s">
        <v>279</v>
      </c>
      <c r="K50" s="9">
        <f t="shared" si="17"/>
        <v>1000</v>
      </c>
      <c r="L50" s="1">
        <v>3</v>
      </c>
      <c r="M50" s="1">
        <v>0</v>
      </c>
      <c r="N50" s="1">
        <f t="shared" si="18"/>
        <v>30</v>
      </c>
      <c r="O50" s="1">
        <v>5</v>
      </c>
      <c r="P50" s="9">
        <f t="shared" si="19"/>
        <v>10</v>
      </c>
      <c r="Q50" s="1">
        <f t="shared" si="10"/>
        <v>37</v>
      </c>
    </row>
    <row r="51" customFormat="1" customHeight="1" spans="3:17">
      <c r="C51" s="1">
        <v>230095</v>
      </c>
      <c r="D51" s="1">
        <v>1</v>
      </c>
      <c r="E51" s="1">
        <v>46</v>
      </c>
      <c r="F51" s="1" t="s">
        <v>296</v>
      </c>
      <c r="G51" s="1">
        <v>5</v>
      </c>
      <c r="H51" s="17" t="s">
        <v>34</v>
      </c>
      <c r="I51" s="17" t="s">
        <v>31</v>
      </c>
      <c r="J51" s="17" t="s">
        <v>279</v>
      </c>
      <c r="K51" s="9">
        <f t="shared" si="17"/>
        <v>1000</v>
      </c>
      <c r="L51" s="1">
        <v>3</v>
      </c>
      <c r="M51" s="1">
        <v>0</v>
      </c>
      <c r="N51" s="1">
        <f t="shared" si="18"/>
        <v>30</v>
      </c>
      <c r="O51" s="1">
        <v>5</v>
      </c>
      <c r="P51" s="9">
        <f t="shared" si="19"/>
        <v>10</v>
      </c>
      <c r="Q51" s="1">
        <f t="shared" si="10"/>
        <v>37</v>
      </c>
    </row>
    <row r="52" customFormat="1" customHeight="1" spans="3:17">
      <c r="C52" s="1">
        <v>230096</v>
      </c>
      <c r="D52" s="1">
        <v>1</v>
      </c>
      <c r="E52" s="1">
        <v>46</v>
      </c>
      <c r="F52" s="1" t="s">
        <v>297</v>
      </c>
      <c r="G52" s="1">
        <v>7</v>
      </c>
      <c r="H52" s="17" t="s">
        <v>36</v>
      </c>
      <c r="I52" s="17" t="s">
        <v>49</v>
      </c>
      <c r="J52" s="17" t="s">
        <v>277</v>
      </c>
      <c r="K52" s="9">
        <f t="shared" si="17"/>
        <v>1000</v>
      </c>
      <c r="L52" s="1">
        <v>3</v>
      </c>
      <c r="M52" s="1">
        <v>0</v>
      </c>
      <c r="N52" s="1">
        <f t="shared" si="18"/>
        <v>30</v>
      </c>
      <c r="O52" s="1">
        <v>5</v>
      </c>
      <c r="P52" s="9">
        <f t="shared" si="19"/>
        <v>10</v>
      </c>
      <c r="Q52" s="1">
        <f t="shared" si="10"/>
        <v>37</v>
      </c>
    </row>
    <row r="53" customFormat="1" customHeight="1" spans="3:17">
      <c r="C53" s="1">
        <v>230097</v>
      </c>
      <c r="D53" s="1">
        <v>1</v>
      </c>
      <c r="E53" s="1">
        <v>46</v>
      </c>
      <c r="F53" s="1" t="s">
        <v>298</v>
      </c>
      <c r="G53" s="1">
        <v>9</v>
      </c>
      <c r="H53" s="1">
        <v>9</v>
      </c>
      <c r="I53" s="17" t="s">
        <v>27</v>
      </c>
      <c r="J53" s="17" t="s">
        <v>277</v>
      </c>
      <c r="K53" s="9">
        <f t="shared" si="17"/>
        <v>1000</v>
      </c>
      <c r="L53" s="1">
        <v>3</v>
      </c>
      <c r="M53" s="1">
        <v>0</v>
      </c>
      <c r="N53" s="1">
        <f t="shared" si="18"/>
        <v>30</v>
      </c>
      <c r="O53" s="1">
        <v>5</v>
      </c>
      <c r="P53" s="9">
        <f t="shared" si="19"/>
        <v>10</v>
      </c>
      <c r="Q53" s="1">
        <f t="shared" si="10"/>
        <v>37</v>
      </c>
    </row>
    <row r="54" customFormat="1" customHeight="1" spans="3:17">
      <c r="C54" s="1">
        <v>230098</v>
      </c>
      <c r="D54" s="1">
        <v>1</v>
      </c>
      <c r="E54" s="1">
        <v>46</v>
      </c>
      <c r="F54" s="1" t="s">
        <v>299</v>
      </c>
      <c r="G54" s="1">
        <v>10</v>
      </c>
      <c r="H54" s="1">
        <v>10</v>
      </c>
      <c r="I54" s="17" t="s">
        <v>31</v>
      </c>
      <c r="J54" s="17" t="s">
        <v>279</v>
      </c>
      <c r="K54" s="9">
        <f t="shared" si="17"/>
        <v>1000</v>
      </c>
      <c r="L54" s="1">
        <v>3</v>
      </c>
      <c r="M54" s="1">
        <v>0</v>
      </c>
      <c r="N54" s="1">
        <f t="shared" si="18"/>
        <v>30</v>
      </c>
      <c r="O54" s="1">
        <v>5</v>
      </c>
      <c r="P54" s="9">
        <f t="shared" si="19"/>
        <v>10</v>
      </c>
      <c r="Q54" s="1">
        <f t="shared" si="10"/>
        <v>37</v>
      </c>
    </row>
    <row r="55" customFormat="1" customHeight="1" spans="3:17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customFormat="1" customHeight="1" spans="3:17">
      <c r="C56" s="1">
        <v>210101</v>
      </c>
      <c r="D56" s="1">
        <v>1</v>
      </c>
      <c r="E56" s="1">
        <v>51</v>
      </c>
      <c r="F56" s="1" t="s">
        <v>300</v>
      </c>
      <c r="G56" s="1">
        <v>1</v>
      </c>
      <c r="H56" s="1">
        <v>1</v>
      </c>
      <c r="I56" s="17" t="s">
        <v>24</v>
      </c>
      <c r="J56" s="17" t="s">
        <v>301</v>
      </c>
      <c r="K56" s="9">
        <f>(E56-1)/5*300+300</f>
        <v>3300</v>
      </c>
      <c r="L56" s="1">
        <v>1</v>
      </c>
      <c r="M56" s="1">
        <v>0</v>
      </c>
      <c r="N56" s="1">
        <f>(E56-1)/5*3+1</f>
        <v>31</v>
      </c>
      <c r="O56" s="1">
        <v>5</v>
      </c>
      <c r="P56" s="9">
        <f>((E56-1)/5+1)*2</f>
        <v>22</v>
      </c>
      <c r="Q56" s="1">
        <f t="shared" ref="Q56:Q79" si="20">(E56-1)/5*3+10</f>
        <v>40</v>
      </c>
    </row>
    <row r="57" customFormat="1" customHeight="1" spans="3:17">
      <c r="C57" s="1">
        <v>210102</v>
      </c>
      <c r="D57" s="1">
        <v>1</v>
      </c>
      <c r="E57" s="1">
        <v>51</v>
      </c>
      <c r="F57" s="1" t="s">
        <v>302</v>
      </c>
      <c r="G57" s="1">
        <v>2</v>
      </c>
      <c r="H57" s="1">
        <v>2</v>
      </c>
      <c r="I57" s="17" t="s">
        <v>27</v>
      </c>
      <c r="J57" s="17" t="s">
        <v>301</v>
      </c>
      <c r="K57" s="9">
        <f>(E57-1)/5*300+300</f>
        <v>3300</v>
      </c>
      <c r="L57" s="1">
        <v>1</v>
      </c>
      <c r="M57" s="1">
        <v>0</v>
      </c>
      <c r="N57" s="1">
        <f>(E57-1)/5*3+2</f>
        <v>32</v>
      </c>
      <c r="O57" s="1">
        <v>5</v>
      </c>
      <c r="P57" s="9">
        <f>((E57-1)/5+1)*2</f>
        <v>22</v>
      </c>
      <c r="Q57" s="1">
        <f t="shared" si="20"/>
        <v>40</v>
      </c>
    </row>
    <row r="58" customFormat="1" customHeight="1" spans="3:17">
      <c r="C58" s="1">
        <v>210103</v>
      </c>
      <c r="D58" s="1">
        <v>1</v>
      </c>
      <c r="E58" s="1">
        <v>51</v>
      </c>
      <c r="F58" s="1" t="s">
        <v>303</v>
      </c>
      <c r="G58" s="1">
        <v>3</v>
      </c>
      <c r="H58" s="1">
        <v>3</v>
      </c>
      <c r="I58" s="17" t="s">
        <v>24</v>
      </c>
      <c r="J58" s="17" t="s">
        <v>304</v>
      </c>
      <c r="K58" s="9">
        <f t="shared" ref="K58:K63" si="21">(E58-1)/5*100+100</f>
        <v>1100</v>
      </c>
      <c r="L58" s="1">
        <v>1</v>
      </c>
      <c r="M58" s="1">
        <v>0</v>
      </c>
      <c r="N58" s="1">
        <f t="shared" ref="N58:N63" si="22">(E58-1)/5*3+3</f>
        <v>33</v>
      </c>
      <c r="O58" s="1">
        <v>5</v>
      </c>
      <c r="P58" s="9">
        <f t="shared" ref="P58:P63" si="23">((E58-1)/5+1)*1</f>
        <v>11</v>
      </c>
      <c r="Q58" s="1">
        <f t="shared" si="20"/>
        <v>40</v>
      </c>
    </row>
    <row r="59" customFormat="1" customHeight="1" spans="3:17">
      <c r="C59" s="1">
        <v>210104</v>
      </c>
      <c r="D59" s="1">
        <v>1</v>
      </c>
      <c r="E59" s="1">
        <v>51</v>
      </c>
      <c r="F59" s="1" t="s">
        <v>305</v>
      </c>
      <c r="G59" s="1">
        <v>4</v>
      </c>
      <c r="H59" s="1">
        <v>4</v>
      </c>
      <c r="I59" s="17" t="s">
        <v>31</v>
      </c>
      <c r="J59" s="17" t="s">
        <v>306</v>
      </c>
      <c r="K59" s="9">
        <f t="shared" si="21"/>
        <v>1100</v>
      </c>
      <c r="L59" s="1">
        <v>1</v>
      </c>
      <c r="M59" s="1">
        <v>0</v>
      </c>
      <c r="N59" s="1">
        <f t="shared" si="22"/>
        <v>33</v>
      </c>
      <c r="O59" s="1">
        <v>5</v>
      </c>
      <c r="P59" s="9">
        <f t="shared" si="23"/>
        <v>11</v>
      </c>
      <c r="Q59" s="1">
        <f t="shared" si="20"/>
        <v>40</v>
      </c>
    </row>
    <row r="60" customFormat="1" customHeight="1" spans="3:17">
      <c r="C60" s="1">
        <v>210105</v>
      </c>
      <c r="D60" s="1">
        <v>1</v>
      </c>
      <c r="E60" s="1">
        <v>51</v>
      </c>
      <c r="F60" s="1" t="s">
        <v>307</v>
      </c>
      <c r="G60" s="1">
        <v>5</v>
      </c>
      <c r="H60" s="17" t="s">
        <v>34</v>
      </c>
      <c r="I60" s="17" t="s">
        <v>31</v>
      </c>
      <c r="J60" s="17" t="s">
        <v>306</v>
      </c>
      <c r="K60" s="9">
        <f t="shared" si="21"/>
        <v>1100</v>
      </c>
      <c r="L60" s="1">
        <v>1</v>
      </c>
      <c r="M60" s="1">
        <v>0</v>
      </c>
      <c r="N60" s="1">
        <f t="shared" si="22"/>
        <v>33</v>
      </c>
      <c r="O60" s="1">
        <v>5</v>
      </c>
      <c r="P60" s="9">
        <f t="shared" si="23"/>
        <v>11</v>
      </c>
      <c r="Q60" s="1">
        <f t="shared" si="20"/>
        <v>40</v>
      </c>
    </row>
    <row r="61" customFormat="1" customHeight="1" spans="3:17">
      <c r="C61" s="1">
        <v>210106</v>
      </c>
      <c r="D61" s="1">
        <v>1</v>
      </c>
      <c r="E61" s="1">
        <v>51</v>
      </c>
      <c r="F61" s="1" t="s">
        <v>308</v>
      </c>
      <c r="G61" s="1">
        <v>7</v>
      </c>
      <c r="H61" s="17" t="s">
        <v>36</v>
      </c>
      <c r="I61" s="17" t="s">
        <v>24</v>
      </c>
      <c r="J61" s="17" t="s">
        <v>304</v>
      </c>
      <c r="K61" s="9">
        <f t="shared" si="21"/>
        <v>1100</v>
      </c>
      <c r="L61" s="1">
        <v>1</v>
      </c>
      <c r="M61" s="1">
        <v>0</v>
      </c>
      <c r="N61" s="1">
        <f t="shared" si="22"/>
        <v>33</v>
      </c>
      <c r="O61" s="1">
        <v>5</v>
      </c>
      <c r="P61" s="9">
        <f t="shared" si="23"/>
        <v>11</v>
      </c>
      <c r="Q61" s="1">
        <f t="shared" si="20"/>
        <v>40</v>
      </c>
    </row>
    <row r="62" customFormat="1" customHeight="1" spans="3:17">
      <c r="C62" s="1">
        <v>210107</v>
      </c>
      <c r="D62" s="1">
        <v>1</v>
      </c>
      <c r="E62" s="1">
        <v>51</v>
      </c>
      <c r="F62" s="1" t="s">
        <v>309</v>
      </c>
      <c r="G62" s="1">
        <v>9</v>
      </c>
      <c r="H62" s="1">
        <v>9</v>
      </c>
      <c r="I62" s="17" t="s">
        <v>27</v>
      </c>
      <c r="J62" s="17" t="s">
        <v>304</v>
      </c>
      <c r="K62" s="9">
        <f t="shared" si="21"/>
        <v>1100</v>
      </c>
      <c r="L62" s="1">
        <v>1</v>
      </c>
      <c r="M62" s="1">
        <v>0</v>
      </c>
      <c r="N62" s="1">
        <f t="shared" si="22"/>
        <v>33</v>
      </c>
      <c r="O62" s="1">
        <v>5</v>
      </c>
      <c r="P62" s="9">
        <f t="shared" si="23"/>
        <v>11</v>
      </c>
      <c r="Q62" s="1">
        <f t="shared" si="20"/>
        <v>40</v>
      </c>
    </row>
    <row r="63" customFormat="1" customHeight="1" spans="3:17">
      <c r="C63" s="1">
        <v>210108</v>
      </c>
      <c r="D63" s="1">
        <v>1</v>
      </c>
      <c r="E63" s="1">
        <v>51</v>
      </c>
      <c r="F63" s="1" t="s">
        <v>310</v>
      </c>
      <c r="G63" s="1">
        <v>10</v>
      </c>
      <c r="H63" s="1">
        <v>10</v>
      </c>
      <c r="I63" s="17" t="s">
        <v>31</v>
      </c>
      <c r="J63" s="17" t="s">
        <v>306</v>
      </c>
      <c r="K63" s="9">
        <f t="shared" si="21"/>
        <v>1100</v>
      </c>
      <c r="L63" s="1">
        <v>1</v>
      </c>
      <c r="M63" s="1">
        <v>0</v>
      </c>
      <c r="N63" s="1">
        <f t="shared" si="22"/>
        <v>33</v>
      </c>
      <c r="O63" s="1">
        <v>5</v>
      </c>
      <c r="P63" s="9">
        <f t="shared" si="23"/>
        <v>11</v>
      </c>
      <c r="Q63" s="1">
        <f t="shared" si="20"/>
        <v>40</v>
      </c>
    </row>
    <row r="64" customFormat="1" customHeight="1" spans="3:17">
      <c r="C64" s="1">
        <v>220101</v>
      </c>
      <c r="D64" s="1">
        <v>1</v>
      </c>
      <c r="E64" s="1">
        <v>51</v>
      </c>
      <c r="F64" s="1" t="s">
        <v>311</v>
      </c>
      <c r="G64" s="1">
        <v>1</v>
      </c>
      <c r="H64" s="1">
        <v>1</v>
      </c>
      <c r="I64" s="17" t="s">
        <v>40</v>
      </c>
      <c r="J64" s="17" t="s">
        <v>301</v>
      </c>
      <c r="K64" s="9">
        <f>(E64-1)/5*300+300</f>
        <v>3300</v>
      </c>
      <c r="L64" s="1">
        <v>2</v>
      </c>
      <c r="M64" s="1">
        <v>0</v>
      </c>
      <c r="N64" s="1">
        <f>(E64-1)/5*3+1</f>
        <v>31</v>
      </c>
      <c r="O64" s="1">
        <v>5</v>
      </c>
      <c r="P64" s="9">
        <f>((E64-1)/5+1)*2</f>
        <v>22</v>
      </c>
      <c r="Q64" s="1">
        <f t="shared" si="20"/>
        <v>40</v>
      </c>
    </row>
    <row r="65" customFormat="1" customHeight="1" spans="3:17">
      <c r="C65" s="1">
        <v>220102</v>
      </c>
      <c r="D65" s="1">
        <v>1</v>
      </c>
      <c r="E65" s="1">
        <v>51</v>
      </c>
      <c r="F65" s="1" t="s">
        <v>312</v>
      </c>
      <c r="G65" s="1">
        <v>2</v>
      </c>
      <c r="H65" s="1">
        <v>2</v>
      </c>
      <c r="I65" s="17" t="s">
        <v>27</v>
      </c>
      <c r="J65" s="17" t="s">
        <v>301</v>
      </c>
      <c r="K65" s="9">
        <f>(E65-1)/5*300+300</f>
        <v>3300</v>
      </c>
      <c r="L65" s="1">
        <v>2</v>
      </c>
      <c r="M65" s="1">
        <v>0</v>
      </c>
      <c r="N65" s="1">
        <f>(E65-1)/5*3+2</f>
        <v>32</v>
      </c>
      <c r="O65" s="1">
        <v>5</v>
      </c>
      <c r="P65" s="9">
        <f>((E65-1)/5+1)*2</f>
        <v>22</v>
      </c>
      <c r="Q65" s="1">
        <f t="shared" si="20"/>
        <v>40</v>
      </c>
    </row>
    <row r="66" customFormat="1" customHeight="1" spans="3:17">
      <c r="C66" s="1">
        <v>220103</v>
      </c>
      <c r="D66" s="1">
        <v>1</v>
      </c>
      <c r="E66" s="1">
        <v>51</v>
      </c>
      <c r="F66" s="1" t="s">
        <v>313</v>
      </c>
      <c r="G66" s="1">
        <v>3</v>
      </c>
      <c r="H66" s="1">
        <v>3</v>
      </c>
      <c r="I66" s="17" t="s">
        <v>40</v>
      </c>
      <c r="J66" s="17" t="s">
        <v>304</v>
      </c>
      <c r="K66" s="9">
        <f t="shared" ref="K66:K71" si="24">(E66-1)/5*100+100</f>
        <v>1100</v>
      </c>
      <c r="L66" s="1">
        <v>2</v>
      </c>
      <c r="M66" s="1">
        <v>0</v>
      </c>
      <c r="N66" s="1">
        <f t="shared" ref="N66:N71" si="25">(E66-1)/5*3+3</f>
        <v>33</v>
      </c>
      <c r="O66" s="1">
        <v>5</v>
      </c>
      <c r="P66" s="9">
        <f t="shared" ref="P66:P71" si="26">((E66-1)/5+1)*1</f>
        <v>11</v>
      </c>
      <c r="Q66" s="1">
        <f t="shared" si="20"/>
        <v>40</v>
      </c>
    </row>
    <row r="67" customFormat="1" customHeight="1" spans="3:17">
      <c r="C67" s="1">
        <v>220104</v>
      </c>
      <c r="D67" s="1">
        <v>1</v>
      </c>
      <c r="E67" s="1">
        <v>51</v>
      </c>
      <c r="F67" s="1" t="s">
        <v>314</v>
      </c>
      <c r="G67" s="1">
        <v>4</v>
      </c>
      <c r="H67" s="1">
        <v>4</v>
      </c>
      <c r="I67" s="17" t="s">
        <v>31</v>
      </c>
      <c r="J67" s="17" t="s">
        <v>306</v>
      </c>
      <c r="K67" s="9">
        <f t="shared" si="24"/>
        <v>1100</v>
      </c>
      <c r="L67" s="1">
        <v>2</v>
      </c>
      <c r="M67" s="1">
        <v>0</v>
      </c>
      <c r="N67" s="1">
        <f t="shared" si="25"/>
        <v>33</v>
      </c>
      <c r="O67" s="1">
        <v>5</v>
      </c>
      <c r="P67" s="9">
        <f t="shared" si="26"/>
        <v>11</v>
      </c>
      <c r="Q67" s="1">
        <f t="shared" si="20"/>
        <v>40</v>
      </c>
    </row>
    <row r="68" customFormat="1" customHeight="1" spans="3:17">
      <c r="C68" s="1">
        <v>220105</v>
      </c>
      <c r="D68" s="1">
        <v>1</v>
      </c>
      <c r="E68" s="1">
        <v>51</v>
      </c>
      <c r="F68" s="1" t="s">
        <v>315</v>
      </c>
      <c r="G68" s="1">
        <v>5</v>
      </c>
      <c r="H68" s="17" t="s">
        <v>34</v>
      </c>
      <c r="I68" s="17" t="s">
        <v>31</v>
      </c>
      <c r="J68" s="17" t="s">
        <v>306</v>
      </c>
      <c r="K68" s="9">
        <f t="shared" si="24"/>
        <v>1100</v>
      </c>
      <c r="L68" s="1">
        <v>2</v>
      </c>
      <c r="M68" s="1">
        <v>0</v>
      </c>
      <c r="N68" s="1">
        <f t="shared" si="25"/>
        <v>33</v>
      </c>
      <c r="O68" s="1">
        <v>5</v>
      </c>
      <c r="P68" s="9">
        <f t="shared" si="26"/>
        <v>11</v>
      </c>
      <c r="Q68" s="1">
        <f t="shared" si="20"/>
        <v>40</v>
      </c>
    </row>
    <row r="69" customFormat="1" customHeight="1" spans="3:17">
      <c r="C69" s="1">
        <v>220106</v>
      </c>
      <c r="D69" s="1">
        <v>1</v>
      </c>
      <c r="E69" s="1">
        <v>51</v>
      </c>
      <c r="F69" s="1" t="s">
        <v>316</v>
      </c>
      <c r="G69" s="1">
        <v>7</v>
      </c>
      <c r="H69" s="17" t="s">
        <v>36</v>
      </c>
      <c r="I69" s="17" t="s">
        <v>40</v>
      </c>
      <c r="J69" s="17" t="s">
        <v>304</v>
      </c>
      <c r="K69" s="9">
        <f t="shared" si="24"/>
        <v>1100</v>
      </c>
      <c r="L69" s="1">
        <v>2</v>
      </c>
      <c r="M69" s="1">
        <v>0</v>
      </c>
      <c r="N69" s="1">
        <f t="shared" si="25"/>
        <v>33</v>
      </c>
      <c r="O69" s="1">
        <v>5</v>
      </c>
      <c r="P69" s="9">
        <f t="shared" si="26"/>
        <v>11</v>
      </c>
      <c r="Q69" s="1">
        <f t="shared" si="20"/>
        <v>40</v>
      </c>
    </row>
    <row r="70" customFormat="1" customHeight="1" spans="3:17">
      <c r="C70" s="1">
        <v>220107</v>
      </c>
      <c r="D70" s="1">
        <v>1</v>
      </c>
      <c r="E70" s="1">
        <v>51</v>
      </c>
      <c r="F70" s="1" t="s">
        <v>317</v>
      </c>
      <c r="G70" s="1">
        <v>9</v>
      </c>
      <c r="H70" s="1">
        <v>9</v>
      </c>
      <c r="I70" s="17" t="s">
        <v>27</v>
      </c>
      <c r="J70" s="17" t="s">
        <v>304</v>
      </c>
      <c r="K70" s="9">
        <f t="shared" si="24"/>
        <v>1100</v>
      </c>
      <c r="L70" s="1">
        <v>2</v>
      </c>
      <c r="M70" s="1">
        <v>0</v>
      </c>
      <c r="N70" s="1">
        <f t="shared" si="25"/>
        <v>33</v>
      </c>
      <c r="O70" s="1">
        <v>5</v>
      </c>
      <c r="P70" s="9">
        <f t="shared" si="26"/>
        <v>11</v>
      </c>
      <c r="Q70" s="1">
        <f t="shared" si="20"/>
        <v>40</v>
      </c>
    </row>
    <row r="71" customFormat="1" customHeight="1" spans="3:17">
      <c r="C71" s="1">
        <v>220108</v>
      </c>
      <c r="D71" s="1">
        <v>1</v>
      </c>
      <c r="E71" s="1">
        <v>51</v>
      </c>
      <c r="F71" s="1" t="s">
        <v>318</v>
      </c>
      <c r="G71" s="1">
        <v>10</v>
      </c>
      <c r="H71" s="1">
        <v>10</v>
      </c>
      <c r="I71" s="17" t="s">
        <v>31</v>
      </c>
      <c r="J71" s="17" t="s">
        <v>306</v>
      </c>
      <c r="K71" s="9">
        <f t="shared" si="24"/>
        <v>1100</v>
      </c>
      <c r="L71" s="1">
        <v>2</v>
      </c>
      <c r="M71" s="1">
        <v>0</v>
      </c>
      <c r="N71" s="1">
        <f t="shared" si="25"/>
        <v>33</v>
      </c>
      <c r="O71" s="1">
        <v>5</v>
      </c>
      <c r="P71" s="9">
        <f t="shared" si="26"/>
        <v>11</v>
      </c>
      <c r="Q71" s="1">
        <f t="shared" si="20"/>
        <v>40</v>
      </c>
    </row>
    <row r="72" customFormat="1" customHeight="1" spans="3:17">
      <c r="C72" s="1">
        <v>230101</v>
      </c>
      <c r="D72" s="1">
        <v>1</v>
      </c>
      <c r="E72" s="1">
        <v>51</v>
      </c>
      <c r="F72" s="1" t="s">
        <v>319</v>
      </c>
      <c r="G72" s="1">
        <v>1</v>
      </c>
      <c r="H72" s="1">
        <v>1</v>
      </c>
      <c r="I72" s="17" t="s">
        <v>49</v>
      </c>
      <c r="J72" s="17" t="s">
        <v>301</v>
      </c>
      <c r="K72" s="9">
        <f>(E72-1)/5*300+300</f>
        <v>3300</v>
      </c>
      <c r="L72" s="1">
        <v>3</v>
      </c>
      <c r="M72" s="1">
        <v>0</v>
      </c>
      <c r="N72" s="1">
        <f>(E72-1)/5*3+1</f>
        <v>31</v>
      </c>
      <c r="O72" s="1">
        <v>5</v>
      </c>
      <c r="P72" s="9">
        <f>((E72-1)/5+1)*2</f>
        <v>22</v>
      </c>
      <c r="Q72" s="1">
        <f t="shared" si="20"/>
        <v>40</v>
      </c>
    </row>
    <row r="73" customFormat="1" customHeight="1" spans="3:17">
      <c r="C73" s="1">
        <v>230102</v>
      </c>
      <c r="D73" s="1">
        <v>1</v>
      </c>
      <c r="E73" s="1">
        <v>51</v>
      </c>
      <c r="F73" s="1" t="s">
        <v>320</v>
      </c>
      <c r="G73" s="1">
        <v>2</v>
      </c>
      <c r="H73" s="1">
        <v>2</v>
      </c>
      <c r="I73" s="17" t="s">
        <v>27</v>
      </c>
      <c r="J73" s="17" t="s">
        <v>301</v>
      </c>
      <c r="K73" s="9">
        <f>(E73-1)/5*300+300</f>
        <v>3300</v>
      </c>
      <c r="L73" s="1">
        <v>3</v>
      </c>
      <c r="M73" s="1">
        <v>0</v>
      </c>
      <c r="N73" s="1">
        <f>(E73-1)/5*3+2</f>
        <v>32</v>
      </c>
      <c r="O73" s="1">
        <v>5</v>
      </c>
      <c r="P73" s="9">
        <f>((E73-1)/5+1)*2</f>
        <v>22</v>
      </c>
      <c r="Q73" s="1">
        <f t="shared" si="20"/>
        <v>40</v>
      </c>
    </row>
    <row r="74" customFormat="1" customHeight="1" spans="3:17">
      <c r="C74" s="1">
        <v>230103</v>
      </c>
      <c r="D74" s="1">
        <v>1</v>
      </c>
      <c r="E74" s="1">
        <v>51</v>
      </c>
      <c r="F74" s="1" t="s">
        <v>321</v>
      </c>
      <c r="G74" s="1">
        <v>3</v>
      </c>
      <c r="H74" s="1">
        <v>3</v>
      </c>
      <c r="I74" s="17" t="s">
        <v>49</v>
      </c>
      <c r="J74" s="17" t="s">
        <v>304</v>
      </c>
      <c r="K74" s="9">
        <f t="shared" ref="K74:K79" si="27">(E74-1)/5*100+100</f>
        <v>1100</v>
      </c>
      <c r="L74" s="1">
        <v>3</v>
      </c>
      <c r="M74" s="1">
        <v>0</v>
      </c>
      <c r="N74" s="1">
        <f t="shared" ref="N74:N79" si="28">(E74-1)/5*3+3</f>
        <v>33</v>
      </c>
      <c r="O74" s="1">
        <v>5</v>
      </c>
      <c r="P74" s="9">
        <f t="shared" ref="P74:P79" si="29">((E74-1)/5+1)*1</f>
        <v>11</v>
      </c>
      <c r="Q74" s="1">
        <f t="shared" si="20"/>
        <v>40</v>
      </c>
    </row>
    <row r="75" customFormat="1" customHeight="1" spans="3:17">
      <c r="C75" s="1">
        <v>230104</v>
      </c>
      <c r="D75" s="1">
        <v>1</v>
      </c>
      <c r="E75" s="1">
        <v>51</v>
      </c>
      <c r="F75" s="1" t="s">
        <v>322</v>
      </c>
      <c r="G75" s="1">
        <v>4</v>
      </c>
      <c r="H75" s="1">
        <v>4</v>
      </c>
      <c r="I75" s="17" t="s">
        <v>31</v>
      </c>
      <c r="J75" s="17" t="s">
        <v>306</v>
      </c>
      <c r="K75" s="9">
        <f t="shared" si="27"/>
        <v>1100</v>
      </c>
      <c r="L75" s="1">
        <v>3</v>
      </c>
      <c r="M75" s="1">
        <v>0</v>
      </c>
      <c r="N75" s="1">
        <f t="shared" si="28"/>
        <v>33</v>
      </c>
      <c r="O75" s="1">
        <v>5</v>
      </c>
      <c r="P75" s="9">
        <f t="shared" si="29"/>
        <v>11</v>
      </c>
      <c r="Q75" s="1">
        <f t="shared" si="20"/>
        <v>40</v>
      </c>
    </row>
    <row r="76" customFormat="1" customHeight="1" spans="3:17">
      <c r="C76" s="1">
        <v>230105</v>
      </c>
      <c r="D76" s="1">
        <v>1</v>
      </c>
      <c r="E76" s="1">
        <v>51</v>
      </c>
      <c r="F76" s="1" t="s">
        <v>323</v>
      </c>
      <c r="G76" s="1">
        <v>5</v>
      </c>
      <c r="H76" s="17" t="s">
        <v>34</v>
      </c>
      <c r="I76" s="17" t="s">
        <v>31</v>
      </c>
      <c r="J76" s="17" t="s">
        <v>306</v>
      </c>
      <c r="K76" s="9">
        <f t="shared" si="27"/>
        <v>1100</v>
      </c>
      <c r="L76" s="1">
        <v>3</v>
      </c>
      <c r="M76" s="1">
        <v>0</v>
      </c>
      <c r="N76" s="1">
        <f t="shared" si="28"/>
        <v>33</v>
      </c>
      <c r="O76" s="1">
        <v>5</v>
      </c>
      <c r="P76" s="9">
        <f t="shared" si="29"/>
        <v>11</v>
      </c>
      <c r="Q76" s="1">
        <f t="shared" si="20"/>
        <v>40</v>
      </c>
    </row>
    <row r="77" customFormat="1" customHeight="1" spans="3:17">
      <c r="C77" s="1">
        <v>230106</v>
      </c>
      <c r="D77" s="1">
        <v>1</v>
      </c>
      <c r="E77" s="1">
        <v>51</v>
      </c>
      <c r="F77" s="1" t="s">
        <v>324</v>
      </c>
      <c r="G77" s="1">
        <v>7</v>
      </c>
      <c r="H77" s="17" t="s">
        <v>36</v>
      </c>
      <c r="I77" s="17" t="s">
        <v>49</v>
      </c>
      <c r="J77" s="17" t="s">
        <v>304</v>
      </c>
      <c r="K77" s="9">
        <f t="shared" si="27"/>
        <v>1100</v>
      </c>
      <c r="L77" s="1">
        <v>3</v>
      </c>
      <c r="M77" s="1">
        <v>0</v>
      </c>
      <c r="N77" s="1">
        <f t="shared" si="28"/>
        <v>33</v>
      </c>
      <c r="O77" s="1">
        <v>5</v>
      </c>
      <c r="P77" s="9">
        <f t="shared" si="29"/>
        <v>11</v>
      </c>
      <c r="Q77" s="1">
        <f t="shared" si="20"/>
        <v>40</v>
      </c>
    </row>
    <row r="78" customFormat="1" customHeight="1" spans="3:17">
      <c r="C78" s="1">
        <v>230107</v>
      </c>
      <c r="D78" s="1">
        <v>1</v>
      </c>
      <c r="E78" s="1">
        <v>51</v>
      </c>
      <c r="F78" s="1" t="s">
        <v>325</v>
      </c>
      <c r="G78" s="1">
        <v>9</v>
      </c>
      <c r="H78" s="1">
        <v>9</v>
      </c>
      <c r="I78" s="17" t="s">
        <v>27</v>
      </c>
      <c r="J78" s="17" t="s">
        <v>304</v>
      </c>
      <c r="K78" s="9">
        <f t="shared" si="27"/>
        <v>1100</v>
      </c>
      <c r="L78" s="1">
        <v>3</v>
      </c>
      <c r="M78" s="1">
        <v>0</v>
      </c>
      <c r="N78" s="1">
        <f t="shared" si="28"/>
        <v>33</v>
      </c>
      <c r="O78" s="1">
        <v>5</v>
      </c>
      <c r="P78" s="9">
        <f t="shared" si="29"/>
        <v>11</v>
      </c>
      <c r="Q78" s="1">
        <f t="shared" si="20"/>
        <v>40</v>
      </c>
    </row>
    <row r="79" customFormat="1" customHeight="1" spans="3:17">
      <c r="C79" s="1">
        <v>230108</v>
      </c>
      <c r="D79" s="1">
        <v>1</v>
      </c>
      <c r="E79" s="1">
        <v>51</v>
      </c>
      <c r="F79" s="1" t="s">
        <v>326</v>
      </c>
      <c r="G79" s="1">
        <v>10</v>
      </c>
      <c r="H79" s="1">
        <v>10</v>
      </c>
      <c r="I79" s="17" t="s">
        <v>31</v>
      </c>
      <c r="J79" s="17" t="s">
        <v>306</v>
      </c>
      <c r="K79" s="9">
        <f t="shared" si="27"/>
        <v>1100</v>
      </c>
      <c r="L79" s="1">
        <v>3</v>
      </c>
      <c r="M79" s="1">
        <v>0</v>
      </c>
      <c r="N79" s="1">
        <f t="shared" si="28"/>
        <v>33</v>
      </c>
      <c r="O79" s="1">
        <v>5</v>
      </c>
      <c r="P79" s="9">
        <f t="shared" si="29"/>
        <v>11</v>
      </c>
      <c r="Q79" s="1">
        <f t="shared" si="20"/>
        <v>40</v>
      </c>
    </row>
    <row r="80" customFormat="1" customHeight="1" spans="3:17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1" customHeight="1" spans="3:17">
      <c r="C81" s="1">
        <v>210111</v>
      </c>
      <c r="D81" s="1">
        <v>1</v>
      </c>
      <c r="E81" s="1">
        <v>56</v>
      </c>
      <c r="F81" s="1" t="s">
        <v>327</v>
      </c>
      <c r="G81" s="1">
        <v>1</v>
      </c>
      <c r="H81" s="1">
        <v>1</v>
      </c>
      <c r="I81" s="17" t="s">
        <v>24</v>
      </c>
      <c r="J81" s="17" t="s">
        <v>328</v>
      </c>
      <c r="K81" s="9">
        <f>(E81-1)/5*300+300</f>
        <v>3600</v>
      </c>
      <c r="L81" s="1">
        <v>1</v>
      </c>
      <c r="M81" s="1">
        <v>0</v>
      </c>
      <c r="N81" s="1">
        <f>(E81-1)/5*3+1</f>
        <v>34</v>
      </c>
      <c r="O81" s="1">
        <v>5</v>
      </c>
      <c r="P81" s="9">
        <f>((E81-1)/5+1)*2</f>
        <v>24</v>
      </c>
      <c r="Q81" s="1">
        <f t="shared" ref="Q81:Q104" si="30">(E81-1)/5*3+10</f>
        <v>43</v>
      </c>
    </row>
    <row r="82" customFormat="1" customHeight="1" spans="3:17">
      <c r="C82" s="1">
        <v>210112</v>
      </c>
      <c r="D82" s="1">
        <v>1</v>
      </c>
      <c r="E82" s="1">
        <v>56</v>
      </c>
      <c r="F82" s="1" t="s">
        <v>329</v>
      </c>
      <c r="G82" s="1">
        <v>2</v>
      </c>
      <c r="H82" s="1">
        <v>2</v>
      </c>
      <c r="I82" s="17" t="s">
        <v>27</v>
      </c>
      <c r="J82" s="17" t="s">
        <v>328</v>
      </c>
      <c r="K82" s="9">
        <f>(E82-1)/5*300+300</f>
        <v>3600</v>
      </c>
      <c r="L82" s="1">
        <v>1</v>
      </c>
      <c r="M82" s="1">
        <v>0</v>
      </c>
      <c r="N82" s="1">
        <f>(E82-1)/5*3+2</f>
        <v>35</v>
      </c>
      <c r="O82" s="1">
        <v>5</v>
      </c>
      <c r="P82" s="9">
        <f>((E82-1)/5+1)*2</f>
        <v>24</v>
      </c>
      <c r="Q82" s="1">
        <f t="shared" si="30"/>
        <v>43</v>
      </c>
    </row>
    <row r="83" customFormat="1" customHeight="1" spans="3:17">
      <c r="C83" s="1">
        <v>210113</v>
      </c>
      <c r="D83" s="1">
        <v>1</v>
      </c>
      <c r="E83" s="1">
        <v>56</v>
      </c>
      <c r="F83" s="1" t="s">
        <v>330</v>
      </c>
      <c r="G83" s="1">
        <v>3</v>
      </c>
      <c r="H83" s="1">
        <v>3</v>
      </c>
      <c r="I83" s="17" t="s">
        <v>24</v>
      </c>
      <c r="J83" s="17" t="s">
        <v>331</v>
      </c>
      <c r="K83" s="9">
        <f t="shared" ref="K83:K88" si="31">(E83-1)/5*100+100</f>
        <v>1200</v>
      </c>
      <c r="L83" s="1">
        <v>1</v>
      </c>
      <c r="M83" s="1">
        <v>0</v>
      </c>
      <c r="N83" s="1">
        <f t="shared" ref="N83:N88" si="32">(E83-1)/5*3+3</f>
        <v>36</v>
      </c>
      <c r="O83" s="1">
        <v>5</v>
      </c>
      <c r="P83" s="9">
        <f t="shared" ref="P83:P88" si="33">((E83-1)/5+1)*1</f>
        <v>12</v>
      </c>
      <c r="Q83" s="1">
        <f t="shared" si="30"/>
        <v>43</v>
      </c>
    </row>
    <row r="84" customFormat="1" customHeight="1" spans="3:17">
      <c r="C84" s="1">
        <v>210114</v>
      </c>
      <c r="D84" s="1">
        <v>1</v>
      </c>
      <c r="E84" s="1">
        <v>56</v>
      </c>
      <c r="F84" s="1" t="s">
        <v>332</v>
      </c>
      <c r="G84" s="1">
        <v>4</v>
      </c>
      <c r="H84" s="1">
        <v>4</v>
      </c>
      <c r="I84" s="17" t="s">
        <v>31</v>
      </c>
      <c r="J84" s="17" t="s">
        <v>333</v>
      </c>
      <c r="K84" s="9">
        <f t="shared" si="31"/>
        <v>1200</v>
      </c>
      <c r="L84" s="1">
        <v>1</v>
      </c>
      <c r="M84" s="1">
        <v>0</v>
      </c>
      <c r="N84" s="1">
        <f t="shared" si="32"/>
        <v>36</v>
      </c>
      <c r="O84" s="1">
        <v>5</v>
      </c>
      <c r="P84" s="9">
        <f t="shared" si="33"/>
        <v>12</v>
      </c>
      <c r="Q84" s="1">
        <f t="shared" si="30"/>
        <v>43</v>
      </c>
    </row>
    <row r="85" customFormat="1" customHeight="1" spans="3:17">
      <c r="C85" s="1">
        <v>210115</v>
      </c>
      <c r="D85" s="1">
        <v>1</v>
      </c>
      <c r="E85" s="1">
        <v>56</v>
      </c>
      <c r="F85" s="1" t="s">
        <v>334</v>
      </c>
      <c r="G85" s="1">
        <v>5</v>
      </c>
      <c r="H85" s="17" t="s">
        <v>34</v>
      </c>
      <c r="I85" s="17" t="s">
        <v>31</v>
      </c>
      <c r="J85" s="17" t="s">
        <v>333</v>
      </c>
      <c r="K85" s="9">
        <f t="shared" si="31"/>
        <v>1200</v>
      </c>
      <c r="L85" s="1">
        <v>1</v>
      </c>
      <c r="M85" s="1">
        <v>0</v>
      </c>
      <c r="N85" s="1">
        <f t="shared" si="32"/>
        <v>36</v>
      </c>
      <c r="O85" s="1">
        <v>5</v>
      </c>
      <c r="P85" s="9">
        <f t="shared" si="33"/>
        <v>12</v>
      </c>
      <c r="Q85" s="1">
        <f t="shared" si="30"/>
        <v>43</v>
      </c>
    </row>
    <row r="86" customFormat="1" customHeight="1" spans="3:17">
      <c r="C86" s="1">
        <v>210116</v>
      </c>
      <c r="D86" s="1">
        <v>1</v>
      </c>
      <c r="E86" s="1">
        <v>56</v>
      </c>
      <c r="F86" s="1" t="s">
        <v>335</v>
      </c>
      <c r="G86" s="1">
        <v>7</v>
      </c>
      <c r="H86" s="17" t="s">
        <v>36</v>
      </c>
      <c r="I86" s="17" t="s">
        <v>24</v>
      </c>
      <c r="J86" s="17" t="s">
        <v>331</v>
      </c>
      <c r="K86" s="9">
        <f t="shared" si="31"/>
        <v>1200</v>
      </c>
      <c r="L86" s="1">
        <v>1</v>
      </c>
      <c r="M86" s="1">
        <v>0</v>
      </c>
      <c r="N86" s="1">
        <f t="shared" si="32"/>
        <v>36</v>
      </c>
      <c r="O86" s="1">
        <v>5</v>
      </c>
      <c r="P86" s="9">
        <f t="shared" si="33"/>
        <v>12</v>
      </c>
      <c r="Q86" s="1">
        <f t="shared" si="30"/>
        <v>43</v>
      </c>
    </row>
    <row r="87" customFormat="1" customHeight="1" spans="3:17">
      <c r="C87" s="1">
        <v>210117</v>
      </c>
      <c r="D87" s="1">
        <v>1</v>
      </c>
      <c r="E87" s="1">
        <v>56</v>
      </c>
      <c r="F87" s="1" t="s">
        <v>336</v>
      </c>
      <c r="G87" s="1">
        <v>9</v>
      </c>
      <c r="H87" s="1">
        <v>9</v>
      </c>
      <c r="I87" s="17" t="s">
        <v>27</v>
      </c>
      <c r="J87" s="17" t="s">
        <v>331</v>
      </c>
      <c r="K87" s="9">
        <f t="shared" si="31"/>
        <v>1200</v>
      </c>
      <c r="L87" s="1">
        <v>1</v>
      </c>
      <c r="M87" s="1">
        <v>0</v>
      </c>
      <c r="N87" s="1">
        <f t="shared" si="32"/>
        <v>36</v>
      </c>
      <c r="O87" s="1">
        <v>5</v>
      </c>
      <c r="P87" s="9">
        <f t="shared" si="33"/>
        <v>12</v>
      </c>
      <c r="Q87" s="1">
        <f t="shared" si="30"/>
        <v>43</v>
      </c>
    </row>
    <row r="88" customFormat="1" customHeight="1" spans="3:17">
      <c r="C88" s="1">
        <v>210118</v>
      </c>
      <c r="D88" s="1">
        <v>1</v>
      </c>
      <c r="E88" s="1">
        <v>56</v>
      </c>
      <c r="F88" s="1" t="s">
        <v>337</v>
      </c>
      <c r="G88" s="1">
        <v>10</v>
      </c>
      <c r="H88" s="1">
        <v>10</v>
      </c>
      <c r="I88" s="17" t="s">
        <v>31</v>
      </c>
      <c r="J88" s="17" t="s">
        <v>333</v>
      </c>
      <c r="K88" s="9">
        <f t="shared" si="31"/>
        <v>1200</v>
      </c>
      <c r="L88" s="1">
        <v>1</v>
      </c>
      <c r="M88" s="1">
        <v>0</v>
      </c>
      <c r="N88" s="1">
        <f t="shared" si="32"/>
        <v>36</v>
      </c>
      <c r="O88" s="1">
        <v>5</v>
      </c>
      <c r="P88" s="9">
        <f t="shared" si="33"/>
        <v>12</v>
      </c>
      <c r="Q88" s="1">
        <f t="shared" si="30"/>
        <v>43</v>
      </c>
    </row>
    <row r="89" customFormat="1" customHeight="1" spans="3:17">
      <c r="C89" s="1">
        <v>220111</v>
      </c>
      <c r="D89" s="1">
        <v>1</v>
      </c>
      <c r="E89" s="1">
        <v>56</v>
      </c>
      <c r="F89" s="1" t="s">
        <v>338</v>
      </c>
      <c r="G89" s="1">
        <v>1</v>
      </c>
      <c r="H89" s="1">
        <v>1</v>
      </c>
      <c r="I89" s="17" t="s">
        <v>40</v>
      </c>
      <c r="J89" s="17" t="s">
        <v>328</v>
      </c>
      <c r="K89" s="9">
        <f>(E89-1)/5*300+300</f>
        <v>3600</v>
      </c>
      <c r="L89" s="1">
        <v>2</v>
      </c>
      <c r="M89" s="1">
        <v>0</v>
      </c>
      <c r="N89" s="1">
        <f>(E89-1)/5*3+1</f>
        <v>34</v>
      </c>
      <c r="O89" s="1">
        <v>5</v>
      </c>
      <c r="P89" s="9">
        <f>((E89-1)/5+1)*2</f>
        <v>24</v>
      </c>
      <c r="Q89" s="1">
        <f t="shared" si="30"/>
        <v>43</v>
      </c>
    </row>
    <row r="90" customFormat="1" customHeight="1" spans="3:17">
      <c r="C90" s="1">
        <v>220112</v>
      </c>
      <c r="D90" s="1">
        <v>1</v>
      </c>
      <c r="E90" s="1">
        <v>56</v>
      </c>
      <c r="F90" s="1" t="s">
        <v>339</v>
      </c>
      <c r="G90" s="1">
        <v>2</v>
      </c>
      <c r="H90" s="1">
        <v>2</v>
      </c>
      <c r="I90" s="17" t="s">
        <v>27</v>
      </c>
      <c r="J90" s="17" t="s">
        <v>328</v>
      </c>
      <c r="K90" s="9">
        <f>(E90-1)/5*300+300</f>
        <v>3600</v>
      </c>
      <c r="L90" s="1">
        <v>2</v>
      </c>
      <c r="M90" s="1">
        <v>0</v>
      </c>
      <c r="N90" s="1">
        <f>(E90-1)/5*3+2</f>
        <v>35</v>
      </c>
      <c r="O90" s="1">
        <v>5</v>
      </c>
      <c r="P90" s="9">
        <f>((E90-1)/5+1)*2</f>
        <v>24</v>
      </c>
      <c r="Q90" s="1">
        <f t="shared" si="30"/>
        <v>43</v>
      </c>
    </row>
    <row r="91" customFormat="1" customHeight="1" spans="3:17">
      <c r="C91" s="1">
        <v>220113</v>
      </c>
      <c r="D91" s="1">
        <v>1</v>
      </c>
      <c r="E91" s="1">
        <v>56</v>
      </c>
      <c r="F91" s="1" t="s">
        <v>340</v>
      </c>
      <c r="G91" s="1">
        <v>3</v>
      </c>
      <c r="H91" s="1">
        <v>3</v>
      </c>
      <c r="I91" s="17" t="s">
        <v>40</v>
      </c>
      <c r="J91" s="17" t="s">
        <v>331</v>
      </c>
      <c r="K91" s="9">
        <f t="shared" ref="K91:K96" si="34">(E91-1)/5*100+100</f>
        <v>1200</v>
      </c>
      <c r="L91" s="1">
        <v>2</v>
      </c>
      <c r="M91" s="1">
        <v>0</v>
      </c>
      <c r="N91" s="1">
        <f t="shared" ref="N91:N96" si="35">(E91-1)/5*3+3</f>
        <v>36</v>
      </c>
      <c r="O91" s="1">
        <v>5</v>
      </c>
      <c r="P91" s="9">
        <f t="shared" ref="P91:P96" si="36">((E91-1)/5+1)*1</f>
        <v>12</v>
      </c>
      <c r="Q91" s="1">
        <f t="shared" si="30"/>
        <v>43</v>
      </c>
    </row>
    <row r="92" customFormat="1" customHeight="1" spans="3:17">
      <c r="C92" s="1">
        <v>220114</v>
      </c>
      <c r="D92" s="1">
        <v>1</v>
      </c>
      <c r="E92" s="1">
        <v>56</v>
      </c>
      <c r="F92" s="1" t="s">
        <v>341</v>
      </c>
      <c r="G92" s="1">
        <v>4</v>
      </c>
      <c r="H92" s="1">
        <v>4</v>
      </c>
      <c r="I92" s="17" t="s">
        <v>31</v>
      </c>
      <c r="J92" s="17" t="s">
        <v>333</v>
      </c>
      <c r="K92" s="9">
        <f t="shared" si="34"/>
        <v>1200</v>
      </c>
      <c r="L92" s="1">
        <v>2</v>
      </c>
      <c r="M92" s="1">
        <v>0</v>
      </c>
      <c r="N92" s="1">
        <f t="shared" si="35"/>
        <v>36</v>
      </c>
      <c r="O92" s="1">
        <v>5</v>
      </c>
      <c r="P92" s="9">
        <f t="shared" si="36"/>
        <v>12</v>
      </c>
      <c r="Q92" s="1">
        <f t="shared" si="30"/>
        <v>43</v>
      </c>
    </row>
    <row r="93" customFormat="1" customHeight="1" spans="3:17">
      <c r="C93" s="1">
        <v>220115</v>
      </c>
      <c r="D93" s="1">
        <v>1</v>
      </c>
      <c r="E93" s="1">
        <v>56</v>
      </c>
      <c r="F93" s="1" t="s">
        <v>342</v>
      </c>
      <c r="G93" s="1">
        <v>5</v>
      </c>
      <c r="H93" s="17" t="s">
        <v>34</v>
      </c>
      <c r="I93" s="17" t="s">
        <v>31</v>
      </c>
      <c r="J93" s="17" t="s">
        <v>333</v>
      </c>
      <c r="K93" s="9">
        <f t="shared" si="34"/>
        <v>1200</v>
      </c>
      <c r="L93" s="1">
        <v>2</v>
      </c>
      <c r="M93" s="1">
        <v>0</v>
      </c>
      <c r="N93" s="1">
        <f t="shared" si="35"/>
        <v>36</v>
      </c>
      <c r="O93" s="1">
        <v>5</v>
      </c>
      <c r="P93" s="9">
        <f t="shared" si="36"/>
        <v>12</v>
      </c>
      <c r="Q93" s="1">
        <f t="shared" si="30"/>
        <v>43</v>
      </c>
    </row>
    <row r="94" customFormat="1" customHeight="1" spans="3:17">
      <c r="C94" s="1">
        <v>220116</v>
      </c>
      <c r="D94" s="1">
        <v>1</v>
      </c>
      <c r="E94" s="1">
        <v>56</v>
      </c>
      <c r="F94" s="1" t="s">
        <v>343</v>
      </c>
      <c r="G94" s="1">
        <v>7</v>
      </c>
      <c r="H94" s="17" t="s">
        <v>36</v>
      </c>
      <c r="I94" s="17" t="s">
        <v>40</v>
      </c>
      <c r="J94" s="17" t="s">
        <v>331</v>
      </c>
      <c r="K94" s="9">
        <f t="shared" si="34"/>
        <v>1200</v>
      </c>
      <c r="L94" s="1">
        <v>2</v>
      </c>
      <c r="M94" s="1">
        <v>0</v>
      </c>
      <c r="N94" s="1">
        <f t="shared" si="35"/>
        <v>36</v>
      </c>
      <c r="O94" s="1">
        <v>5</v>
      </c>
      <c r="P94" s="9">
        <f t="shared" si="36"/>
        <v>12</v>
      </c>
      <c r="Q94" s="1">
        <f t="shared" si="30"/>
        <v>43</v>
      </c>
    </row>
    <row r="95" customFormat="1" customHeight="1" spans="3:17">
      <c r="C95" s="1">
        <v>220117</v>
      </c>
      <c r="D95" s="1">
        <v>1</v>
      </c>
      <c r="E95" s="1">
        <v>56</v>
      </c>
      <c r="F95" s="1" t="s">
        <v>344</v>
      </c>
      <c r="G95" s="1">
        <v>9</v>
      </c>
      <c r="H95" s="1">
        <v>9</v>
      </c>
      <c r="I95" s="17" t="s">
        <v>27</v>
      </c>
      <c r="J95" s="17" t="s">
        <v>331</v>
      </c>
      <c r="K95" s="9">
        <f t="shared" si="34"/>
        <v>1200</v>
      </c>
      <c r="L95" s="1">
        <v>2</v>
      </c>
      <c r="M95" s="1">
        <v>0</v>
      </c>
      <c r="N95" s="1">
        <f t="shared" si="35"/>
        <v>36</v>
      </c>
      <c r="O95" s="1">
        <v>5</v>
      </c>
      <c r="P95" s="9">
        <f t="shared" si="36"/>
        <v>12</v>
      </c>
      <c r="Q95" s="1">
        <f t="shared" si="30"/>
        <v>43</v>
      </c>
    </row>
    <row r="96" customFormat="1" customHeight="1" spans="3:17">
      <c r="C96" s="1">
        <v>220118</v>
      </c>
      <c r="D96" s="1">
        <v>1</v>
      </c>
      <c r="E96" s="1">
        <v>56</v>
      </c>
      <c r="F96" s="1" t="s">
        <v>345</v>
      </c>
      <c r="G96" s="1">
        <v>10</v>
      </c>
      <c r="H96" s="1">
        <v>10</v>
      </c>
      <c r="I96" s="17" t="s">
        <v>31</v>
      </c>
      <c r="J96" s="17" t="s">
        <v>333</v>
      </c>
      <c r="K96" s="9">
        <f t="shared" si="34"/>
        <v>1200</v>
      </c>
      <c r="L96" s="1">
        <v>2</v>
      </c>
      <c r="M96" s="1">
        <v>0</v>
      </c>
      <c r="N96" s="1">
        <f t="shared" si="35"/>
        <v>36</v>
      </c>
      <c r="O96" s="1">
        <v>5</v>
      </c>
      <c r="P96" s="9">
        <f t="shared" si="36"/>
        <v>12</v>
      </c>
      <c r="Q96" s="1">
        <f t="shared" si="30"/>
        <v>43</v>
      </c>
    </row>
    <row r="97" customFormat="1" customHeight="1" spans="3:17">
      <c r="C97" s="1">
        <v>230111</v>
      </c>
      <c r="D97" s="1">
        <v>1</v>
      </c>
      <c r="E97" s="1">
        <v>56</v>
      </c>
      <c r="F97" s="1" t="s">
        <v>346</v>
      </c>
      <c r="G97" s="1">
        <v>1</v>
      </c>
      <c r="H97" s="1">
        <v>1</v>
      </c>
      <c r="I97" s="17" t="s">
        <v>49</v>
      </c>
      <c r="J97" s="17" t="s">
        <v>328</v>
      </c>
      <c r="K97" s="9">
        <f>(E97-1)/5*300+300</f>
        <v>3600</v>
      </c>
      <c r="L97" s="1">
        <v>3</v>
      </c>
      <c r="M97" s="1">
        <v>0</v>
      </c>
      <c r="N97" s="1">
        <f>(E97-1)/5*3+1</f>
        <v>34</v>
      </c>
      <c r="O97" s="1">
        <v>5</v>
      </c>
      <c r="P97" s="9">
        <f>((E97-1)/5+1)*2</f>
        <v>24</v>
      </c>
      <c r="Q97" s="1">
        <f t="shared" si="30"/>
        <v>43</v>
      </c>
    </row>
    <row r="98" customFormat="1" customHeight="1" spans="3:17">
      <c r="C98" s="1">
        <v>230112</v>
      </c>
      <c r="D98" s="1">
        <v>1</v>
      </c>
      <c r="E98" s="1">
        <v>56</v>
      </c>
      <c r="F98" s="1" t="s">
        <v>347</v>
      </c>
      <c r="G98" s="1">
        <v>2</v>
      </c>
      <c r="H98" s="1">
        <v>2</v>
      </c>
      <c r="I98" s="17" t="s">
        <v>27</v>
      </c>
      <c r="J98" s="17" t="s">
        <v>328</v>
      </c>
      <c r="K98" s="9">
        <f>(E98-1)/5*300+300</f>
        <v>3600</v>
      </c>
      <c r="L98" s="1">
        <v>3</v>
      </c>
      <c r="M98" s="1">
        <v>0</v>
      </c>
      <c r="N98" s="1">
        <f>(E98-1)/5*3+2</f>
        <v>35</v>
      </c>
      <c r="O98" s="1">
        <v>5</v>
      </c>
      <c r="P98" s="9">
        <f>((E98-1)/5+1)*2</f>
        <v>24</v>
      </c>
      <c r="Q98" s="1">
        <f t="shared" si="30"/>
        <v>43</v>
      </c>
    </row>
    <row r="99" customFormat="1" customHeight="1" spans="3:17">
      <c r="C99" s="1">
        <v>230113</v>
      </c>
      <c r="D99" s="1">
        <v>1</v>
      </c>
      <c r="E99" s="1">
        <v>56</v>
      </c>
      <c r="F99" s="1" t="s">
        <v>348</v>
      </c>
      <c r="G99" s="1">
        <v>3</v>
      </c>
      <c r="H99" s="1">
        <v>3</v>
      </c>
      <c r="I99" s="17" t="s">
        <v>49</v>
      </c>
      <c r="J99" s="17" t="s">
        <v>331</v>
      </c>
      <c r="K99" s="9">
        <f t="shared" ref="K99:K104" si="37">(E99-1)/5*100+100</f>
        <v>1200</v>
      </c>
      <c r="L99" s="1">
        <v>3</v>
      </c>
      <c r="M99" s="1">
        <v>0</v>
      </c>
      <c r="N99" s="1">
        <f t="shared" ref="N99:N104" si="38">(E99-1)/5*3+3</f>
        <v>36</v>
      </c>
      <c r="O99" s="1">
        <v>5</v>
      </c>
      <c r="P99" s="9">
        <f t="shared" ref="P99:P104" si="39">((E99-1)/5+1)*1</f>
        <v>12</v>
      </c>
      <c r="Q99" s="1">
        <f t="shared" si="30"/>
        <v>43</v>
      </c>
    </row>
    <row r="100" customFormat="1" customHeight="1" spans="3:17">
      <c r="C100" s="1">
        <v>230114</v>
      </c>
      <c r="D100" s="1">
        <v>1</v>
      </c>
      <c r="E100" s="1">
        <v>56</v>
      </c>
      <c r="F100" s="1" t="s">
        <v>349</v>
      </c>
      <c r="G100" s="1">
        <v>4</v>
      </c>
      <c r="H100" s="1">
        <v>4</v>
      </c>
      <c r="I100" s="17" t="s">
        <v>31</v>
      </c>
      <c r="J100" s="17" t="s">
        <v>333</v>
      </c>
      <c r="K100" s="9">
        <f t="shared" si="37"/>
        <v>1200</v>
      </c>
      <c r="L100" s="1">
        <v>3</v>
      </c>
      <c r="M100" s="1">
        <v>0</v>
      </c>
      <c r="N100" s="1">
        <f t="shared" si="38"/>
        <v>36</v>
      </c>
      <c r="O100" s="1">
        <v>5</v>
      </c>
      <c r="P100" s="9">
        <f t="shared" si="39"/>
        <v>12</v>
      </c>
      <c r="Q100" s="1">
        <f t="shared" si="30"/>
        <v>43</v>
      </c>
    </row>
    <row r="101" customFormat="1" customHeight="1" spans="3:17">
      <c r="C101" s="1">
        <v>230115</v>
      </c>
      <c r="D101" s="1">
        <v>1</v>
      </c>
      <c r="E101" s="1">
        <v>56</v>
      </c>
      <c r="F101" s="1" t="s">
        <v>350</v>
      </c>
      <c r="G101" s="1">
        <v>5</v>
      </c>
      <c r="H101" s="17" t="s">
        <v>34</v>
      </c>
      <c r="I101" s="17" t="s">
        <v>31</v>
      </c>
      <c r="J101" s="17" t="s">
        <v>333</v>
      </c>
      <c r="K101" s="9">
        <f t="shared" si="37"/>
        <v>1200</v>
      </c>
      <c r="L101" s="1">
        <v>3</v>
      </c>
      <c r="M101" s="1">
        <v>0</v>
      </c>
      <c r="N101" s="1">
        <f t="shared" si="38"/>
        <v>36</v>
      </c>
      <c r="O101" s="1">
        <v>5</v>
      </c>
      <c r="P101" s="9">
        <f t="shared" si="39"/>
        <v>12</v>
      </c>
      <c r="Q101" s="1">
        <f t="shared" si="30"/>
        <v>43</v>
      </c>
    </row>
    <row r="102" customFormat="1" customHeight="1" spans="3:17">
      <c r="C102" s="1">
        <v>230116</v>
      </c>
      <c r="D102" s="1">
        <v>1</v>
      </c>
      <c r="E102" s="1">
        <v>56</v>
      </c>
      <c r="F102" s="1" t="s">
        <v>351</v>
      </c>
      <c r="G102" s="1">
        <v>7</v>
      </c>
      <c r="H102" s="17" t="s">
        <v>36</v>
      </c>
      <c r="I102" s="17" t="s">
        <v>49</v>
      </c>
      <c r="J102" s="17" t="s">
        <v>331</v>
      </c>
      <c r="K102" s="9">
        <f t="shared" si="37"/>
        <v>1200</v>
      </c>
      <c r="L102" s="1">
        <v>3</v>
      </c>
      <c r="M102" s="1">
        <v>0</v>
      </c>
      <c r="N102" s="1">
        <f t="shared" si="38"/>
        <v>36</v>
      </c>
      <c r="O102" s="1">
        <v>5</v>
      </c>
      <c r="P102" s="9">
        <f t="shared" si="39"/>
        <v>12</v>
      </c>
      <c r="Q102" s="1">
        <f t="shared" si="30"/>
        <v>43</v>
      </c>
    </row>
    <row r="103" customFormat="1" customHeight="1" spans="3:17">
      <c r="C103" s="1">
        <v>230117</v>
      </c>
      <c r="D103" s="1">
        <v>1</v>
      </c>
      <c r="E103" s="1">
        <v>56</v>
      </c>
      <c r="F103" s="1" t="s">
        <v>352</v>
      </c>
      <c r="G103" s="1">
        <v>9</v>
      </c>
      <c r="H103" s="1">
        <v>9</v>
      </c>
      <c r="I103" s="17" t="s">
        <v>27</v>
      </c>
      <c r="J103" s="17" t="s">
        <v>331</v>
      </c>
      <c r="K103" s="9">
        <f t="shared" si="37"/>
        <v>1200</v>
      </c>
      <c r="L103" s="1">
        <v>3</v>
      </c>
      <c r="M103" s="1">
        <v>0</v>
      </c>
      <c r="N103" s="1">
        <f t="shared" si="38"/>
        <v>36</v>
      </c>
      <c r="O103" s="1">
        <v>5</v>
      </c>
      <c r="P103" s="9">
        <f t="shared" si="39"/>
        <v>12</v>
      </c>
      <c r="Q103" s="1">
        <f t="shared" si="30"/>
        <v>43</v>
      </c>
    </row>
    <row r="104" customFormat="1" customHeight="1" spans="3:17">
      <c r="C104" s="1">
        <v>230118</v>
      </c>
      <c r="D104" s="1">
        <v>1</v>
      </c>
      <c r="E104" s="1">
        <v>56</v>
      </c>
      <c r="F104" s="1" t="s">
        <v>353</v>
      </c>
      <c r="G104" s="1">
        <v>10</v>
      </c>
      <c r="H104" s="1">
        <v>10</v>
      </c>
      <c r="I104" s="17" t="s">
        <v>31</v>
      </c>
      <c r="J104" s="17" t="s">
        <v>333</v>
      </c>
      <c r="K104" s="9">
        <f t="shared" si="37"/>
        <v>1200</v>
      </c>
      <c r="L104" s="1">
        <v>3</v>
      </c>
      <c r="M104" s="1">
        <v>0</v>
      </c>
      <c r="N104" s="1">
        <f t="shared" si="38"/>
        <v>36</v>
      </c>
      <c r="O104" s="1">
        <v>5</v>
      </c>
      <c r="P104" s="9">
        <f t="shared" si="39"/>
        <v>12</v>
      </c>
      <c r="Q104" s="1">
        <f t="shared" si="30"/>
        <v>43</v>
      </c>
    </row>
    <row r="105" customFormat="1" customHeight="1" spans="3:17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customFormat="1" customHeight="1" spans="3:17">
      <c r="C106" s="1"/>
      <c r="D106" s="1"/>
      <c r="E106" s="1"/>
      <c r="F106" s="1"/>
      <c r="G106" s="1"/>
      <c r="H106"/>
      <c r="I106" s="1"/>
      <c r="J106" s="1"/>
      <c r="K106" s="1"/>
      <c r="L106" s="1"/>
      <c r="M106" s="1"/>
      <c r="N106" s="1"/>
    </row>
    <row r="107" customFormat="1" customHeight="1" spans="3:17">
      <c r="C107" s="1"/>
      <c r="D107" s="1"/>
      <c r="E107" s="1"/>
      <c r="F107" s="1"/>
      <c r="G107" s="1"/>
      <c r="H107"/>
      <c r="I107" s="1"/>
      <c r="J107" s="1"/>
      <c r="K107" s="1"/>
      <c r="L107" s="1"/>
      <c r="M107" s="1"/>
      <c r="N107" s="1"/>
    </row>
    <row r="108" customFormat="1" customHeight="1" spans="3:17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customFormat="1" customHeight="1" spans="3:17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customFormat="1" customHeight="1" spans="3:17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4" customFormat="1" customHeight="1" spans="5:17">
      <c r="E114" s="1"/>
      <c r="H114" s="1"/>
      <c r="J114" s="1"/>
      <c r="K114" s="1"/>
      <c r="O114" s="1"/>
      <c r="P114" s="1"/>
      <c r="Q114" s="1"/>
    </row>
    <row r="115" customFormat="1" customHeight="1" spans="5:17">
      <c r="H115" s="1"/>
      <c r="O115" s="1"/>
      <c r="P115" s="1"/>
      <c r="Q115" s="1"/>
    </row>
    <row r="116" customFormat="1" customHeight="1" spans="5:17">
      <c r="H116" s="1"/>
      <c r="O116" s="1"/>
      <c r="P116" s="1"/>
      <c r="Q116" s="1"/>
    </row>
  </sheetData>
  <dataValidations count="1">
    <dataValidation type="custom" allowBlank="1" showErrorMessage="1" errorTitle="拒绝重复输入" error="当前输入的内容，与本区域的其他单元格内容重复。" sqref="C3:H5 K3:Q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workbookViewId="0">
      <selection activeCell="J37" sqref="J37"/>
    </sheetView>
  </sheetViews>
  <sheetFormatPr defaultColWidth="8.66666666666667" defaultRowHeight="14"/>
  <cols>
    <col min="5" max="5" width="14.1666666666667" customWidth="1"/>
    <col min="8" max="8" width="10.1666666666667" customWidth="1"/>
    <col min="9" max="9" width="11.3333333333333" customWidth="1"/>
    <col min="10" max="10" width="12.75" customWidth="1"/>
    <col min="13" max="13" width="12.5833333333333" customWidth="1"/>
    <col min="14" max="14" width="12.0833333333333" customWidth="1"/>
  </cols>
  <sheetData>
    <row r="1" s="1" customFormat="1" ht="18" customHeight="1"/>
    <row r="2" s="1" customFormat="1" ht="18" customHeight="1"/>
    <row r="3" s="1" customFormat="1" ht="18" customHeight="1" spans="1:17">
      <c r="A3" s="9"/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10" t="s">
        <v>6</v>
      </c>
      <c r="J3" s="11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</row>
    <row r="4" s="1" customFormat="1" ht="18" customHeight="1" spans="1:17">
      <c r="A4" s="9"/>
      <c r="C4" s="7" t="s">
        <v>15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5</v>
      </c>
      <c r="I4" s="10" t="s">
        <v>16</v>
      </c>
      <c r="J4" s="11" t="s">
        <v>17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7" t="s">
        <v>14</v>
      </c>
    </row>
    <row r="5" s="1" customFormat="1" ht="18" customHeight="1" spans="1:17">
      <c r="A5" s="9"/>
      <c r="C5" s="7" t="s">
        <v>18</v>
      </c>
      <c r="D5" s="7" t="s">
        <v>18</v>
      </c>
      <c r="E5" s="7" t="s">
        <v>18</v>
      </c>
      <c r="F5" s="7" t="s">
        <v>19</v>
      </c>
      <c r="G5" s="7" t="s">
        <v>18</v>
      </c>
      <c r="H5" s="7" t="s">
        <v>20</v>
      </c>
      <c r="I5" s="10" t="s">
        <v>20</v>
      </c>
      <c r="J5" s="11" t="s">
        <v>21</v>
      </c>
      <c r="K5" s="7" t="s">
        <v>22</v>
      </c>
      <c r="L5" s="7" t="s">
        <v>18</v>
      </c>
      <c r="M5" s="7" t="s">
        <v>18</v>
      </c>
      <c r="N5" s="7" t="s">
        <v>18</v>
      </c>
      <c r="O5" s="7" t="s">
        <v>18</v>
      </c>
      <c r="P5" s="7" t="s">
        <v>22</v>
      </c>
      <c r="Q5" s="7" t="s">
        <v>22</v>
      </c>
    </row>
    <row r="6" s="1" customFormat="1" ht="18" customHeight="1" spans="1:17">
      <c r="C6" s="1">
        <v>240001</v>
      </c>
      <c r="D6" s="1">
        <v>2</v>
      </c>
      <c r="E6" s="1">
        <v>61</v>
      </c>
      <c r="F6" s="1" t="s">
        <v>354</v>
      </c>
      <c r="G6" s="1">
        <v>1</v>
      </c>
      <c r="H6" s="1">
        <v>1</v>
      </c>
      <c r="I6" s="17" t="s">
        <v>24</v>
      </c>
      <c r="J6" s="17" t="s">
        <v>355</v>
      </c>
      <c r="K6" s="9">
        <v>4500</v>
      </c>
      <c r="L6" s="1">
        <v>1</v>
      </c>
      <c r="M6" s="1">
        <v>0</v>
      </c>
      <c r="N6" s="1">
        <v>37</v>
      </c>
      <c r="O6" s="1">
        <v>5</v>
      </c>
      <c r="P6" s="9">
        <v>0</v>
      </c>
      <c r="Q6" s="9">
        <v>0</v>
      </c>
    </row>
    <row r="7" s="1" customFormat="1" ht="18" customHeight="1" spans="1:17">
      <c r="C7" s="1">
        <v>240002</v>
      </c>
      <c r="D7" s="1">
        <v>2</v>
      </c>
      <c r="E7" s="1">
        <v>61</v>
      </c>
      <c r="F7" s="1" t="s">
        <v>356</v>
      </c>
      <c r="G7" s="1">
        <v>2</v>
      </c>
      <c r="H7" s="1">
        <v>2</v>
      </c>
      <c r="I7" s="17" t="s">
        <v>27</v>
      </c>
      <c r="J7" s="17" t="s">
        <v>355</v>
      </c>
      <c r="K7" s="9">
        <v>4500</v>
      </c>
      <c r="L7" s="1">
        <v>1</v>
      </c>
      <c r="M7" s="1">
        <v>0</v>
      </c>
      <c r="N7" s="1">
        <v>38</v>
      </c>
      <c r="O7" s="1">
        <v>5</v>
      </c>
      <c r="P7" s="9">
        <v>0</v>
      </c>
      <c r="Q7" s="9">
        <v>0</v>
      </c>
    </row>
    <row r="8" s="1" customFormat="1" ht="18" customHeight="1" spans="1:17">
      <c r="C8" s="1">
        <v>240003</v>
      </c>
      <c r="D8" s="1">
        <v>2</v>
      </c>
      <c r="E8" s="1">
        <v>61</v>
      </c>
      <c r="F8" s="1" t="s">
        <v>357</v>
      </c>
      <c r="G8" s="1">
        <v>3</v>
      </c>
      <c r="H8" s="1">
        <v>3</v>
      </c>
      <c r="I8" s="17" t="s">
        <v>24</v>
      </c>
      <c r="J8" s="17" t="s">
        <v>358</v>
      </c>
      <c r="K8" s="9">
        <v>1500</v>
      </c>
      <c r="L8" s="1">
        <v>1</v>
      </c>
      <c r="M8" s="1">
        <v>0</v>
      </c>
      <c r="N8" s="1">
        <v>39</v>
      </c>
      <c r="O8" s="1">
        <v>5</v>
      </c>
      <c r="P8" s="9">
        <v>0</v>
      </c>
      <c r="Q8" s="9">
        <v>0</v>
      </c>
    </row>
    <row r="9" s="1" customFormat="1" ht="18" customHeight="1" spans="1:17">
      <c r="C9" s="1">
        <v>240004</v>
      </c>
      <c r="D9" s="1">
        <v>2</v>
      </c>
      <c r="E9" s="1">
        <v>61</v>
      </c>
      <c r="F9" s="1" t="s">
        <v>359</v>
      </c>
      <c r="G9" s="1">
        <v>4</v>
      </c>
      <c r="H9" s="1">
        <v>4</v>
      </c>
      <c r="I9" s="17" t="s">
        <v>31</v>
      </c>
      <c r="J9" s="17" t="s">
        <v>360</v>
      </c>
      <c r="K9" s="9">
        <v>1500</v>
      </c>
      <c r="L9" s="1">
        <v>1</v>
      </c>
      <c r="M9" s="1">
        <v>0</v>
      </c>
      <c r="N9" s="1">
        <v>39</v>
      </c>
      <c r="O9" s="1">
        <v>5</v>
      </c>
      <c r="P9" s="9">
        <v>0</v>
      </c>
      <c r="Q9" s="9">
        <v>0</v>
      </c>
    </row>
    <row r="10" s="1" customFormat="1" ht="18" customHeight="1" spans="1:17">
      <c r="C10" s="1">
        <v>240005</v>
      </c>
      <c r="D10" s="1">
        <v>2</v>
      </c>
      <c r="E10" s="1">
        <v>61</v>
      </c>
      <c r="F10" s="1" t="s">
        <v>361</v>
      </c>
      <c r="G10" s="1">
        <v>5</v>
      </c>
      <c r="H10" s="17" t="s">
        <v>34</v>
      </c>
      <c r="I10" s="17" t="s">
        <v>31</v>
      </c>
      <c r="J10" s="17" t="s">
        <v>360</v>
      </c>
      <c r="K10" s="9">
        <v>1500</v>
      </c>
      <c r="L10" s="1">
        <v>1</v>
      </c>
      <c r="M10" s="1">
        <v>0</v>
      </c>
      <c r="N10" s="1">
        <v>39</v>
      </c>
      <c r="O10" s="1">
        <v>5</v>
      </c>
      <c r="P10" s="9">
        <v>0</v>
      </c>
      <c r="Q10" s="9">
        <v>0</v>
      </c>
    </row>
    <row r="11" s="1" customFormat="1" ht="18" customHeight="1" spans="1:17">
      <c r="C11" s="1">
        <v>240006</v>
      </c>
      <c r="D11" s="1">
        <v>2</v>
      </c>
      <c r="E11" s="1">
        <v>61</v>
      </c>
      <c r="F11" s="1" t="s">
        <v>362</v>
      </c>
      <c r="G11" s="1">
        <v>7</v>
      </c>
      <c r="H11" s="17" t="s">
        <v>36</v>
      </c>
      <c r="I11" s="17" t="s">
        <v>24</v>
      </c>
      <c r="J11" s="17" t="s">
        <v>358</v>
      </c>
      <c r="K11" s="9">
        <v>1500</v>
      </c>
      <c r="L11" s="1">
        <v>1</v>
      </c>
      <c r="M11" s="1">
        <v>0</v>
      </c>
      <c r="N11" s="1">
        <v>39</v>
      </c>
      <c r="O11" s="1">
        <v>5</v>
      </c>
      <c r="P11" s="9">
        <v>0</v>
      </c>
      <c r="Q11" s="9">
        <v>0</v>
      </c>
    </row>
    <row r="12" s="1" customFormat="1" ht="18" customHeight="1" spans="1:17">
      <c r="C12" s="1">
        <v>240007</v>
      </c>
      <c r="D12" s="1">
        <v>2</v>
      </c>
      <c r="E12" s="1">
        <v>61</v>
      </c>
      <c r="F12" s="1" t="s">
        <v>363</v>
      </c>
      <c r="G12" s="1">
        <v>9</v>
      </c>
      <c r="H12" s="1">
        <v>9</v>
      </c>
      <c r="I12" s="17" t="s">
        <v>27</v>
      </c>
      <c r="J12" s="17" t="s">
        <v>358</v>
      </c>
      <c r="K12" s="9">
        <v>1500</v>
      </c>
      <c r="L12" s="1">
        <v>1</v>
      </c>
      <c r="M12" s="1">
        <v>0</v>
      </c>
      <c r="N12" s="1">
        <v>39</v>
      </c>
      <c r="O12" s="1">
        <v>5</v>
      </c>
      <c r="P12" s="9">
        <v>0</v>
      </c>
      <c r="Q12" s="9">
        <v>0</v>
      </c>
    </row>
    <row r="13" customFormat="1" ht="18" customHeight="1" spans="1:17">
      <c r="C13" s="1">
        <v>240008</v>
      </c>
      <c r="D13" s="1">
        <v>2</v>
      </c>
      <c r="E13" s="1">
        <v>61</v>
      </c>
      <c r="F13" s="1" t="s">
        <v>364</v>
      </c>
      <c r="G13" s="1">
        <v>10</v>
      </c>
      <c r="H13" s="1">
        <v>10</v>
      </c>
      <c r="I13" s="17" t="s">
        <v>31</v>
      </c>
      <c r="J13" s="17" t="s">
        <v>360</v>
      </c>
      <c r="K13" s="9">
        <v>1500</v>
      </c>
      <c r="L13" s="1">
        <v>1</v>
      </c>
      <c r="M13" s="1">
        <v>0</v>
      </c>
      <c r="N13" s="1">
        <v>39</v>
      </c>
      <c r="O13" s="1">
        <v>5</v>
      </c>
      <c r="P13" s="9">
        <v>0</v>
      </c>
      <c r="Q13" s="9">
        <v>0</v>
      </c>
    </row>
    <row r="14" customFormat="1" ht="18" customHeight="1" spans="1:17">
      <c r="C14" s="1">
        <v>250001</v>
      </c>
      <c r="D14" s="1">
        <v>2</v>
      </c>
      <c r="E14" s="1">
        <v>61</v>
      </c>
      <c r="F14" s="1" t="s">
        <v>365</v>
      </c>
      <c r="G14" s="1">
        <v>1</v>
      </c>
      <c r="H14" s="1">
        <v>1</v>
      </c>
      <c r="I14" s="17" t="s">
        <v>40</v>
      </c>
      <c r="J14" s="17" t="s">
        <v>355</v>
      </c>
      <c r="K14" s="9">
        <v>4500</v>
      </c>
      <c r="L14" s="1">
        <v>2</v>
      </c>
      <c r="M14" s="1">
        <v>0</v>
      </c>
      <c r="N14" s="1">
        <v>37</v>
      </c>
      <c r="O14" s="1">
        <v>5</v>
      </c>
      <c r="P14" s="9">
        <v>0</v>
      </c>
      <c r="Q14" s="9">
        <v>0</v>
      </c>
    </row>
    <row r="15" customFormat="1" ht="18" customHeight="1" spans="1:17">
      <c r="C15" s="1">
        <v>250002</v>
      </c>
      <c r="D15" s="1">
        <v>2</v>
      </c>
      <c r="E15" s="1">
        <v>61</v>
      </c>
      <c r="F15" s="1" t="s">
        <v>366</v>
      </c>
      <c r="G15" s="1">
        <v>2</v>
      </c>
      <c r="H15" s="1">
        <v>2</v>
      </c>
      <c r="I15" s="17" t="s">
        <v>27</v>
      </c>
      <c r="J15" s="17" t="s">
        <v>355</v>
      </c>
      <c r="K15" s="9">
        <v>4500</v>
      </c>
      <c r="L15" s="1">
        <v>2</v>
      </c>
      <c r="M15" s="1">
        <v>0</v>
      </c>
      <c r="N15" s="1">
        <v>38</v>
      </c>
      <c r="O15" s="1">
        <v>5</v>
      </c>
      <c r="P15" s="9">
        <v>0</v>
      </c>
      <c r="Q15" s="9">
        <v>0</v>
      </c>
    </row>
    <row r="16" customFormat="1" ht="18" customHeight="1" spans="1:17">
      <c r="C16" s="1">
        <v>250003</v>
      </c>
      <c r="D16" s="1">
        <v>2</v>
      </c>
      <c r="E16" s="1">
        <v>61</v>
      </c>
      <c r="F16" s="1" t="s">
        <v>367</v>
      </c>
      <c r="G16" s="1">
        <v>3</v>
      </c>
      <c r="H16" s="1">
        <v>3</v>
      </c>
      <c r="I16" s="17" t="s">
        <v>40</v>
      </c>
      <c r="J16" s="17" t="s">
        <v>358</v>
      </c>
      <c r="K16" s="9">
        <v>1500</v>
      </c>
      <c r="L16" s="1">
        <v>2</v>
      </c>
      <c r="M16" s="1">
        <v>0</v>
      </c>
      <c r="N16" s="1">
        <v>39</v>
      </c>
      <c r="O16" s="1">
        <v>5</v>
      </c>
      <c r="P16" s="9">
        <v>0</v>
      </c>
      <c r="Q16" s="9">
        <v>0</v>
      </c>
    </row>
    <row r="17" customFormat="1" ht="18" customHeight="1" spans="3:17">
      <c r="C17" s="1">
        <v>250004</v>
      </c>
      <c r="D17" s="1">
        <v>2</v>
      </c>
      <c r="E17" s="1">
        <v>61</v>
      </c>
      <c r="F17" s="1" t="s">
        <v>368</v>
      </c>
      <c r="G17" s="1">
        <v>4</v>
      </c>
      <c r="H17" s="1">
        <v>4</v>
      </c>
      <c r="I17" s="17" t="s">
        <v>31</v>
      </c>
      <c r="J17" s="17" t="s">
        <v>360</v>
      </c>
      <c r="K17" s="9">
        <v>1500</v>
      </c>
      <c r="L17" s="1">
        <v>2</v>
      </c>
      <c r="M17" s="1">
        <v>0</v>
      </c>
      <c r="N17" s="1">
        <v>39</v>
      </c>
      <c r="O17" s="1">
        <v>5</v>
      </c>
      <c r="P17" s="9">
        <v>0</v>
      </c>
      <c r="Q17" s="9">
        <v>0</v>
      </c>
    </row>
    <row r="18" customFormat="1" ht="18" customHeight="1" spans="3:17">
      <c r="C18" s="1">
        <v>250005</v>
      </c>
      <c r="D18" s="1">
        <v>2</v>
      </c>
      <c r="E18" s="1">
        <v>61</v>
      </c>
      <c r="F18" s="1" t="s">
        <v>369</v>
      </c>
      <c r="G18" s="1">
        <v>5</v>
      </c>
      <c r="H18" s="17" t="s">
        <v>34</v>
      </c>
      <c r="I18" s="17" t="s">
        <v>31</v>
      </c>
      <c r="J18" s="17" t="s">
        <v>360</v>
      </c>
      <c r="K18" s="9">
        <v>1500</v>
      </c>
      <c r="L18" s="1">
        <v>2</v>
      </c>
      <c r="M18" s="1">
        <v>0</v>
      </c>
      <c r="N18" s="1">
        <v>39</v>
      </c>
      <c r="O18" s="1">
        <v>5</v>
      </c>
      <c r="P18" s="9">
        <v>0</v>
      </c>
      <c r="Q18" s="9">
        <v>0</v>
      </c>
    </row>
    <row r="19" customFormat="1" ht="18" customHeight="1" spans="3:17">
      <c r="C19" s="1">
        <v>250006</v>
      </c>
      <c r="D19" s="1">
        <v>2</v>
      </c>
      <c r="E19" s="1">
        <v>61</v>
      </c>
      <c r="F19" s="1" t="s">
        <v>370</v>
      </c>
      <c r="G19" s="1">
        <v>7</v>
      </c>
      <c r="H19" s="17" t="s">
        <v>36</v>
      </c>
      <c r="I19" s="17" t="s">
        <v>40</v>
      </c>
      <c r="J19" s="17" t="s">
        <v>358</v>
      </c>
      <c r="K19" s="9">
        <v>1500</v>
      </c>
      <c r="L19" s="1">
        <v>2</v>
      </c>
      <c r="M19" s="1">
        <v>0</v>
      </c>
      <c r="N19" s="1">
        <v>39</v>
      </c>
      <c r="O19" s="1">
        <v>5</v>
      </c>
      <c r="P19" s="9">
        <v>0</v>
      </c>
      <c r="Q19" s="9">
        <v>0</v>
      </c>
    </row>
    <row r="20" customFormat="1" ht="18" customHeight="1" spans="3:17">
      <c r="C20" s="1">
        <v>250007</v>
      </c>
      <c r="D20" s="1">
        <v>2</v>
      </c>
      <c r="E20" s="1">
        <v>61</v>
      </c>
      <c r="F20" s="1" t="s">
        <v>371</v>
      </c>
      <c r="G20" s="1">
        <v>9</v>
      </c>
      <c r="H20" s="1">
        <v>9</v>
      </c>
      <c r="I20" s="17" t="s">
        <v>27</v>
      </c>
      <c r="J20" s="17" t="s">
        <v>358</v>
      </c>
      <c r="K20" s="9">
        <v>1500</v>
      </c>
      <c r="L20" s="1">
        <v>2</v>
      </c>
      <c r="M20" s="1">
        <v>0</v>
      </c>
      <c r="N20" s="1">
        <v>39</v>
      </c>
      <c r="O20" s="1">
        <v>5</v>
      </c>
      <c r="P20" s="9">
        <v>0</v>
      </c>
      <c r="Q20" s="9">
        <v>0</v>
      </c>
    </row>
    <row r="21" customFormat="1" ht="18" customHeight="1" spans="3:17">
      <c r="C21" s="1">
        <v>250008</v>
      </c>
      <c r="D21" s="1">
        <v>2</v>
      </c>
      <c r="E21" s="1">
        <v>61</v>
      </c>
      <c r="F21" s="1" t="s">
        <v>372</v>
      </c>
      <c r="G21" s="1">
        <v>10</v>
      </c>
      <c r="H21" s="1">
        <v>10</v>
      </c>
      <c r="I21" s="17" t="s">
        <v>31</v>
      </c>
      <c r="J21" s="17" t="s">
        <v>360</v>
      </c>
      <c r="K21" s="9">
        <v>1500</v>
      </c>
      <c r="L21" s="1">
        <v>2</v>
      </c>
      <c r="M21" s="1">
        <v>0</v>
      </c>
      <c r="N21" s="1">
        <v>39</v>
      </c>
      <c r="O21" s="1">
        <v>5</v>
      </c>
      <c r="P21" s="9">
        <v>0</v>
      </c>
      <c r="Q21" s="9">
        <v>0</v>
      </c>
    </row>
    <row r="22" customFormat="1" ht="18" customHeight="1" spans="3:17">
      <c r="C22" s="1">
        <v>260001</v>
      </c>
      <c r="D22" s="1">
        <v>2</v>
      </c>
      <c r="E22" s="1">
        <v>61</v>
      </c>
      <c r="F22" s="1" t="s">
        <v>373</v>
      </c>
      <c r="G22" s="1">
        <v>1</v>
      </c>
      <c r="H22" s="1">
        <v>1</v>
      </c>
      <c r="I22" s="17" t="s">
        <v>49</v>
      </c>
      <c r="J22" s="17" t="s">
        <v>355</v>
      </c>
      <c r="K22" s="9">
        <v>4500</v>
      </c>
      <c r="L22" s="1">
        <v>3</v>
      </c>
      <c r="M22" s="1">
        <v>0</v>
      </c>
      <c r="N22" s="1">
        <v>37</v>
      </c>
      <c r="O22" s="1">
        <v>5</v>
      </c>
      <c r="P22" s="9">
        <v>0</v>
      </c>
      <c r="Q22" s="9">
        <v>0</v>
      </c>
    </row>
    <row r="23" customFormat="1" ht="18" customHeight="1" spans="3:17">
      <c r="C23" s="1">
        <v>260002</v>
      </c>
      <c r="D23" s="1">
        <v>2</v>
      </c>
      <c r="E23" s="1">
        <v>61</v>
      </c>
      <c r="F23" s="1" t="s">
        <v>374</v>
      </c>
      <c r="G23" s="1">
        <v>2</v>
      </c>
      <c r="H23" s="1">
        <v>2</v>
      </c>
      <c r="I23" s="17" t="s">
        <v>27</v>
      </c>
      <c r="J23" s="17" t="s">
        <v>355</v>
      </c>
      <c r="K23" s="9">
        <v>4500</v>
      </c>
      <c r="L23" s="1">
        <v>3</v>
      </c>
      <c r="M23" s="1">
        <v>0</v>
      </c>
      <c r="N23" s="1">
        <v>38</v>
      </c>
      <c r="O23" s="1">
        <v>5</v>
      </c>
      <c r="P23" s="9">
        <v>0</v>
      </c>
      <c r="Q23" s="9">
        <v>0</v>
      </c>
    </row>
    <row r="24" customFormat="1" ht="18" customHeight="1" spans="3:17">
      <c r="C24" s="1">
        <v>260003</v>
      </c>
      <c r="D24" s="1">
        <v>2</v>
      </c>
      <c r="E24" s="1">
        <v>61</v>
      </c>
      <c r="F24" s="1" t="s">
        <v>375</v>
      </c>
      <c r="G24" s="1">
        <v>3</v>
      </c>
      <c r="H24" s="1">
        <v>3</v>
      </c>
      <c r="I24" s="17" t="s">
        <v>49</v>
      </c>
      <c r="J24" s="17" t="s">
        <v>358</v>
      </c>
      <c r="K24" s="9">
        <v>1500</v>
      </c>
      <c r="L24" s="1">
        <v>3</v>
      </c>
      <c r="M24" s="1">
        <v>0</v>
      </c>
      <c r="N24" s="1">
        <v>39</v>
      </c>
      <c r="O24" s="1">
        <v>5</v>
      </c>
      <c r="P24" s="9">
        <v>0</v>
      </c>
      <c r="Q24" s="9">
        <v>0</v>
      </c>
    </row>
    <row r="25" customFormat="1" ht="18" customHeight="1" spans="3:17">
      <c r="C25" s="1">
        <v>260004</v>
      </c>
      <c r="D25" s="1">
        <v>2</v>
      </c>
      <c r="E25" s="1">
        <v>61</v>
      </c>
      <c r="F25" s="1" t="s">
        <v>376</v>
      </c>
      <c r="G25" s="1">
        <v>4</v>
      </c>
      <c r="H25" s="1">
        <v>4</v>
      </c>
      <c r="I25" s="17" t="s">
        <v>31</v>
      </c>
      <c r="J25" s="17" t="s">
        <v>360</v>
      </c>
      <c r="K25" s="9">
        <v>1500</v>
      </c>
      <c r="L25" s="1">
        <v>3</v>
      </c>
      <c r="M25" s="1">
        <v>0</v>
      </c>
      <c r="N25" s="1">
        <v>39</v>
      </c>
      <c r="O25" s="1">
        <v>5</v>
      </c>
      <c r="P25" s="9">
        <v>0</v>
      </c>
      <c r="Q25" s="9">
        <v>0</v>
      </c>
    </row>
    <row r="26" customFormat="1" ht="18" customHeight="1" spans="3:17">
      <c r="C26" s="1">
        <v>260005</v>
      </c>
      <c r="D26" s="1">
        <v>2</v>
      </c>
      <c r="E26" s="1">
        <v>61</v>
      </c>
      <c r="F26" s="1" t="s">
        <v>377</v>
      </c>
      <c r="G26" s="1">
        <v>5</v>
      </c>
      <c r="H26" s="17" t="s">
        <v>34</v>
      </c>
      <c r="I26" s="17" t="s">
        <v>31</v>
      </c>
      <c r="J26" s="17" t="s">
        <v>360</v>
      </c>
      <c r="K26" s="9">
        <v>1500</v>
      </c>
      <c r="L26" s="1">
        <v>3</v>
      </c>
      <c r="M26" s="1">
        <v>0</v>
      </c>
      <c r="N26" s="1">
        <v>39</v>
      </c>
      <c r="O26" s="1">
        <v>5</v>
      </c>
      <c r="P26" s="9">
        <v>0</v>
      </c>
      <c r="Q26" s="9">
        <v>0</v>
      </c>
    </row>
    <row r="27" customFormat="1" ht="18" customHeight="1" spans="3:17">
      <c r="C27" s="1">
        <v>260006</v>
      </c>
      <c r="D27" s="1">
        <v>2</v>
      </c>
      <c r="E27" s="1">
        <v>61</v>
      </c>
      <c r="F27" s="1" t="s">
        <v>378</v>
      </c>
      <c r="G27" s="1">
        <v>7</v>
      </c>
      <c r="H27" s="17" t="s">
        <v>36</v>
      </c>
      <c r="I27" s="17" t="s">
        <v>49</v>
      </c>
      <c r="J27" s="17" t="s">
        <v>358</v>
      </c>
      <c r="K27" s="9">
        <v>1500</v>
      </c>
      <c r="L27" s="1">
        <v>3</v>
      </c>
      <c r="M27" s="1">
        <v>0</v>
      </c>
      <c r="N27" s="1">
        <v>39</v>
      </c>
      <c r="O27" s="1">
        <v>5</v>
      </c>
      <c r="P27" s="9">
        <v>0</v>
      </c>
      <c r="Q27" s="9">
        <v>0</v>
      </c>
    </row>
    <row r="28" customFormat="1" ht="18" customHeight="1" spans="3:17">
      <c r="C28" s="1">
        <v>260007</v>
      </c>
      <c r="D28" s="1">
        <v>2</v>
      </c>
      <c r="E28" s="1">
        <v>61</v>
      </c>
      <c r="F28" s="1" t="s">
        <v>379</v>
      </c>
      <c r="G28" s="1">
        <v>9</v>
      </c>
      <c r="H28" s="1">
        <v>9</v>
      </c>
      <c r="I28" s="17" t="s">
        <v>27</v>
      </c>
      <c r="J28" s="17" t="s">
        <v>358</v>
      </c>
      <c r="K28" s="9">
        <v>1500</v>
      </c>
      <c r="L28" s="1">
        <v>3</v>
      </c>
      <c r="M28" s="1">
        <v>0</v>
      </c>
      <c r="N28" s="1">
        <v>39</v>
      </c>
      <c r="O28" s="1">
        <v>5</v>
      </c>
      <c r="P28" s="9">
        <v>0</v>
      </c>
      <c r="Q28" s="9">
        <v>0</v>
      </c>
    </row>
    <row r="29" customFormat="1" ht="18" customHeight="1" spans="3:17">
      <c r="C29" s="1">
        <v>260008</v>
      </c>
      <c r="D29" s="1">
        <v>2</v>
      </c>
      <c r="E29" s="1">
        <v>61</v>
      </c>
      <c r="F29" s="1" t="s">
        <v>380</v>
      </c>
      <c r="G29" s="1">
        <v>10</v>
      </c>
      <c r="H29" s="1">
        <v>10</v>
      </c>
      <c r="I29" s="17" t="s">
        <v>31</v>
      </c>
      <c r="J29" s="17" t="s">
        <v>360</v>
      </c>
      <c r="K29" s="9">
        <v>1500</v>
      </c>
      <c r="L29" s="1">
        <v>3</v>
      </c>
      <c r="M29" s="1">
        <v>0</v>
      </c>
      <c r="N29" s="1">
        <v>39</v>
      </c>
      <c r="O29" s="1">
        <v>5</v>
      </c>
      <c r="P29" s="9">
        <v>0</v>
      </c>
      <c r="Q29" s="9">
        <v>0</v>
      </c>
    </row>
    <row r="36" spans="5:10">
      <c r="E36" s="1"/>
    </row>
    <row r="37" spans="5:10">
      <c r="J37" s="1"/>
    </row>
  </sheetData>
  <dataValidations count="1">
    <dataValidation type="custom" allowBlank="1" showErrorMessage="1" errorTitle="拒绝重复输入" error="当前输入的内容，与本区域的其他单元格内容重复。" sqref="C3:H5 K3:Q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F50" sqref="$A1:$XFD1048576"/>
    </sheetView>
  </sheetViews>
  <sheetFormatPr defaultColWidth="8.66666666666667" defaultRowHeight="14" outlineLevelRow="6"/>
  <cols>
    <col min="5" max="5" width="14.1666666666667" customWidth="1"/>
    <col min="10" max="10" width="12.75" customWidth="1"/>
    <col min="13" max="13" width="12.5833333333333" customWidth="1"/>
    <col min="14" max="14" width="12.0833333333333" customWidth="1"/>
  </cols>
  <sheetData>
    <row r="1" s="1" customFormat="1" ht="18" customHeight="1"/>
    <row r="2" s="1" customFormat="1" ht="18" customHeight="1"/>
    <row r="3" s="1" customFormat="1" ht="18" customHeight="1" spans="1:17">
      <c r="A3" s="9"/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10" t="s">
        <v>6</v>
      </c>
      <c r="J3" s="11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</row>
    <row r="4" s="1" customFormat="1" ht="18" customHeight="1" spans="1:17">
      <c r="A4" s="9"/>
      <c r="C4" s="7" t="s">
        <v>15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5</v>
      </c>
      <c r="I4" s="10" t="s">
        <v>16</v>
      </c>
      <c r="J4" s="11" t="s">
        <v>17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7" t="s">
        <v>14</v>
      </c>
    </row>
    <row r="5" s="1" customFormat="1" ht="18" customHeight="1" spans="1:17">
      <c r="A5" s="9"/>
      <c r="C5" s="7" t="s">
        <v>18</v>
      </c>
      <c r="D5" s="7" t="s">
        <v>18</v>
      </c>
      <c r="E5" s="7" t="s">
        <v>18</v>
      </c>
      <c r="F5" s="7" t="s">
        <v>19</v>
      </c>
      <c r="G5" s="7" t="s">
        <v>18</v>
      </c>
      <c r="H5" s="7" t="s">
        <v>20</v>
      </c>
      <c r="I5" s="10" t="s">
        <v>20</v>
      </c>
      <c r="J5" s="11" t="s">
        <v>21</v>
      </c>
      <c r="K5" s="7" t="s">
        <v>22</v>
      </c>
      <c r="L5" s="7" t="s">
        <v>18</v>
      </c>
      <c r="M5" s="7" t="s">
        <v>18</v>
      </c>
      <c r="N5" s="7" t="s">
        <v>18</v>
      </c>
      <c r="O5" s="7" t="s">
        <v>18</v>
      </c>
      <c r="P5" s="7" t="s">
        <v>22</v>
      </c>
      <c r="Q5" s="7" t="s">
        <v>22</v>
      </c>
    </row>
    <row r="6" s="1" customFormat="1" ht="18" customHeight="1" spans="1:17">
      <c r="C6" s="1">
        <v>200001</v>
      </c>
      <c r="D6" s="1">
        <v>1</v>
      </c>
      <c r="E6" s="1">
        <v>1</v>
      </c>
      <c r="F6" s="1" t="s">
        <v>381</v>
      </c>
      <c r="G6" s="1">
        <v>1</v>
      </c>
      <c r="H6" s="1">
        <v>1</v>
      </c>
      <c r="I6" s="17" t="s">
        <v>382</v>
      </c>
      <c r="J6" s="17" t="s">
        <v>383</v>
      </c>
      <c r="K6" s="1">
        <v>1</v>
      </c>
      <c r="L6" s="1">
        <v>1</v>
      </c>
      <c r="M6" s="1">
        <v>0</v>
      </c>
      <c r="N6" s="1">
        <v>0</v>
      </c>
      <c r="O6" s="1">
        <v>0</v>
      </c>
      <c r="P6" s="1">
        <v>2</v>
      </c>
      <c r="Q6" s="1">
        <v>15</v>
      </c>
    </row>
    <row r="7" spans="1:17">
      <c r="C7" s="1">
        <v>200002</v>
      </c>
      <c r="D7" s="1">
        <v>1</v>
      </c>
      <c r="E7" s="1">
        <v>1</v>
      </c>
      <c r="F7" s="1" t="s">
        <v>384</v>
      </c>
      <c r="G7" s="1">
        <v>2</v>
      </c>
      <c r="H7" s="1">
        <v>2</v>
      </c>
      <c r="I7" s="17" t="s">
        <v>385</v>
      </c>
      <c r="J7" s="17" t="s">
        <v>386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>
        <v>2</v>
      </c>
      <c r="Q7" s="1">
        <v>15</v>
      </c>
    </row>
  </sheetData>
  <dataValidations count="1">
    <dataValidation type="custom" allowBlank="1" showErrorMessage="1" errorTitle="拒绝重复输入" error="当前输入的内容，与本区域的其他单元格内容重复。" sqref="C3:H5 K3:Q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topLeftCell="A23" workbookViewId="0">
      <selection activeCell="F42" sqref="F42:F50"/>
    </sheetView>
  </sheetViews>
  <sheetFormatPr defaultColWidth="13" defaultRowHeight="18" customHeight="1"/>
  <cols>
    <col min="1" max="1" width="6.125" style="1" customWidth="1"/>
    <col min="2" max="2" width="6.5" style="1" customWidth="1"/>
    <col min="3" max="3" width="13" style="1" customWidth="1"/>
    <col min="4" max="4" width="11.25" style="1" customWidth="1"/>
    <col min="5" max="7" width="13" style="1" customWidth="1"/>
    <col min="8" max="8" width="16.0833333333333" style="1" customWidth="1"/>
    <col min="9" max="9" width="19.4166666666667" style="1" customWidth="1"/>
    <col min="10" max="10" width="17.5" style="1" customWidth="1"/>
    <col min="11" max="11" width="12.0833333333333" style="1" customWidth="1"/>
    <col min="12" max="13" width="13" style="1" customWidth="1"/>
    <col min="14" max="14" width="40.3333333333333" style="1" customWidth="1"/>
    <col min="15" max="16376" width="13" style="1" customWidth="1"/>
    <col min="16377" max="16384" width="13" style="1"/>
  </cols>
  <sheetData>
    <row r="1" s="1" customFormat="1" customHeight="1" spans="1:1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387</v>
      </c>
    </row>
    <row r="2" s="1" customFormat="1" customHeight="1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387</v>
      </c>
    </row>
    <row r="3" s="1" customFormat="1" customHeight="1" spans="1:16">
      <c r="A3" s="3"/>
      <c r="B3" s="2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5" t="s">
        <v>6</v>
      </c>
      <c r="J3" s="6" t="s">
        <v>7</v>
      </c>
      <c r="K3" s="6" t="s">
        <v>388</v>
      </c>
      <c r="L3" s="4" t="s">
        <v>389</v>
      </c>
      <c r="M3" s="4" t="s">
        <v>9</v>
      </c>
      <c r="N3" s="4" t="s">
        <v>390</v>
      </c>
      <c r="O3" s="7" t="s">
        <v>13</v>
      </c>
      <c r="P3" s="7" t="s">
        <v>14</v>
      </c>
    </row>
    <row r="4" s="1" customFormat="1" customHeight="1" spans="1:16">
      <c r="A4" s="3"/>
      <c r="B4" s="2"/>
      <c r="C4" s="4" t="s">
        <v>15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5" t="s">
        <v>16</v>
      </c>
      <c r="J4" s="6" t="s">
        <v>17</v>
      </c>
      <c r="K4" s="6" t="s">
        <v>391</v>
      </c>
      <c r="L4" s="4" t="s">
        <v>389</v>
      </c>
      <c r="M4" s="4" t="s">
        <v>9</v>
      </c>
      <c r="N4" s="4"/>
      <c r="O4" s="7" t="s">
        <v>13</v>
      </c>
      <c r="P4" s="7" t="s">
        <v>14</v>
      </c>
    </row>
    <row r="5" s="1" customFormat="1" customHeight="1" spans="1:16">
      <c r="A5" s="3"/>
      <c r="B5" s="2"/>
      <c r="C5" s="4" t="s">
        <v>18</v>
      </c>
      <c r="D5" s="4" t="s">
        <v>18</v>
      </c>
      <c r="E5" s="4" t="s">
        <v>18</v>
      </c>
      <c r="F5" s="4" t="s">
        <v>19</v>
      </c>
      <c r="G5" s="4" t="s">
        <v>18</v>
      </c>
      <c r="H5" s="4" t="s">
        <v>20</v>
      </c>
      <c r="I5" s="5" t="s">
        <v>20</v>
      </c>
      <c r="J5" s="6" t="s">
        <v>21</v>
      </c>
      <c r="K5" s="6" t="s">
        <v>18</v>
      </c>
      <c r="L5" s="4" t="s">
        <v>18</v>
      </c>
      <c r="M5" s="4" t="s">
        <v>18</v>
      </c>
      <c r="N5" s="4"/>
      <c r="O5" s="7" t="s">
        <v>22</v>
      </c>
      <c r="P5" s="7" t="s">
        <v>22</v>
      </c>
    </row>
    <row r="6" s="1" customFormat="1" customHeight="1" spans="1:16">
      <c r="A6" s="2"/>
      <c r="B6" s="2"/>
      <c r="C6" s="1">
        <v>201001</v>
      </c>
      <c r="D6" s="2">
        <v>10</v>
      </c>
      <c r="E6" s="2">
        <v>10</v>
      </c>
      <c r="F6" s="2" t="s">
        <v>392</v>
      </c>
      <c r="G6" s="1">
        <v>4</v>
      </c>
      <c r="H6" s="1">
        <v>4</v>
      </c>
      <c r="I6" s="18" t="s">
        <v>31</v>
      </c>
      <c r="J6" s="17" t="s">
        <v>393</v>
      </c>
      <c r="K6" s="2">
        <v>1</v>
      </c>
      <c r="L6" s="2">
        <v>7</v>
      </c>
      <c r="M6" s="2">
        <v>1</v>
      </c>
      <c r="N6" s="2" t="s">
        <v>394</v>
      </c>
      <c r="O6" s="1">
        <v>0</v>
      </c>
      <c r="P6" s="1">
        <v>0</v>
      </c>
    </row>
    <row r="7" s="1" customFormat="1" customHeight="1" spans="1:16">
      <c r="A7" s="2"/>
      <c r="B7" s="2"/>
      <c r="C7" s="1">
        <v>201002</v>
      </c>
      <c r="D7" s="2">
        <v>10</v>
      </c>
      <c r="E7" s="2">
        <v>10</v>
      </c>
      <c r="F7" s="2" t="s">
        <v>395</v>
      </c>
      <c r="G7" s="1">
        <v>5</v>
      </c>
      <c r="H7" s="17" t="s">
        <v>34</v>
      </c>
      <c r="I7" s="17" t="s">
        <v>396</v>
      </c>
      <c r="J7" s="17" t="s">
        <v>397</v>
      </c>
      <c r="K7" s="2">
        <v>2</v>
      </c>
      <c r="L7" s="2">
        <v>7</v>
      </c>
      <c r="M7" s="2">
        <v>1</v>
      </c>
      <c r="N7" s="2" t="s">
        <v>398</v>
      </c>
      <c r="O7" s="1">
        <v>0</v>
      </c>
      <c r="P7" s="1">
        <v>0</v>
      </c>
    </row>
    <row r="8" s="1" customFormat="1" customHeight="1" spans="1:16">
      <c r="A8" s="2"/>
      <c r="B8" s="2"/>
      <c r="C8" s="1">
        <v>201003</v>
      </c>
      <c r="D8" s="2">
        <v>10</v>
      </c>
      <c r="E8" s="2">
        <v>10</v>
      </c>
      <c r="F8" s="2" t="s">
        <v>399</v>
      </c>
      <c r="G8" s="2">
        <v>2</v>
      </c>
      <c r="H8" s="2">
        <v>2</v>
      </c>
      <c r="I8" s="17" t="s">
        <v>27</v>
      </c>
      <c r="J8" s="17" t="s">
        <v>397</v>
      </c>
      <c r="K8" s="2">
        <v>3</v>
      </c>
      <c r="L8" s="2">
        <v>7</v>
      </c>
      <c r="M8" s="2">
        <v>1</v>
      </c>
      <c r="N8" s="2"/>
      <c r="O8" s="1">
        <v>0</v>
      </c>
      <c r="P8" s="1">
        <v>0</v>
      </c>
    </row>
    <row r="9" s="1" customFormat="1" customHeight="1" spans="1:16">
      <c r="A9" s="2"/>
      <c r="B9" s="2"/>
      <c r="C9" s="1">
        <v>201004</v>
      </c>
      <c r="D9" s="2">
        <v>10</v>
      </c>
      <c r="E9" s="2">
        <v>15</v>
      </c>
      <c r="F9" s="2" t="s">
        <v>400</v>
      </c>
      <c r="G9" s="1">
        <v>7</v>
      </c>
      <c r="H9" s="17" t="s">
        <v>36</v>
      </c>
      <c r="I9" s="17" t="s">
        <v>31</v>
      </c>
      <c r="J9" s="17" t="s">
        <v>401</v>
      </c>
      <c r="K9" s="2">
        <v>4</v>
      </c>
      <c r="L9" s="2">
        <v>7</v>
      </c>
      <c r="M9" s="2">
        <v>1</v>
      </c>
      <c r="N9" s="2" t="s">
        <v>402</v>
      </c>
      <c r="O9" s="1">
        <v>0</v>
      </c>
      <c r="P9" s="1">
        <v>0</v>
      </c>
    </row>
    <row r="10" s="1" customFormat="1" customHeight="1" spans="1:16">
      <c r="A10" s="2"/>
      <c r="B10" s="2"/>
      <c r="C10" s="1">
        <v>201005</v>
      </c>
      <c r="D10" s="2">
        <v>10</v>
      </c>
      <c r="E10" s="2">
        <v>15</v>
      </c>
      <c r="F10" s="2" t="s">
        <v>403</v>
      </c>
      <c r="G10" s="1">
        <v>3</v>
      </c>
      <c r="H10" s="1">
        <v>3</v>
      </c>
      <c r="I10" s="17" t="s">
        <v>396</v>
      </c>
      <c r="J10" s="17" t="s">
        <v>404</v>
      </c>
      <c r="K10" s="2">
        <v>5</v>
      </c>
      <c r="L10" s="2">
        <v>7</v>
      </c>
      <c r="M10" s="2">
        <v>1</v>
      </c>
      <c r="N10" s="2" t="s">
        <v>405</v>
      </c>
      <c r="O10" s="1">
        <v>0</v>
      </c>
      <c r="P10" s="1">
        <v>0</v>
      </c>
    </row>
    <row r="11" s="1" customFormat="1" customHeight="1" spans="1:16">
      <c r="A11" s="2"/>
      <c r="B11" s="2"/>
      <c r="C11" s="1">
        <v>201006</v>
      </c>
      <c r="D11" s="2">
        <v>10</v>
      </c>
      <c r="E11" s="2">
        <v>15</v>
      </c>
      <c r="F11" s="2" t="s">
        <v>406</v>
      </c>
      <c r="G11" s="1">
        <v>9</v>
      </c>
      <c r="H11" s="1">
        <v>9</v>
      </c>
      <c r="I11" s="17" t="s">
        <v>27</v>
      </c>
      <c r="J11" s="17" t="s">
        <v>404</v>
      </c>
      <c r="K11" s="2">
        <v>6</v>
      </c>
      <c r="L11" s="2">
        <v>7</v>
      </c>
      <c r="M11" s="2">
        <v>1</v>
      </c>
      <c r="N11" s="2"/>
      <c r="O11" s="1">
        <v>0</v>
      </c>
      <c r="P11" s="1">
        <v>0</v>
      </c>
    </row>
    <row r="12" s="1" customFormat="1" customHeight="1" spans="1:16">
      <c r="A12" s="2"/>
      <c r="B12" s="2"/>
      <c r="C12" s="1">
        <v>201007</v>
      </c>
      <c r="D12" s="2">
        <v>10</v>
      </c>
      <c r="E12" s="2">
        <f t="shared" ref="E12:E44" si="0">E9+5</f>
        <v>20</v>
      </c>
      <c r="F12" s="2" t="s">
        <v>407</v>
      </c>
      <c r="G12" s="2">
        <v>1</v>
      </c>
      <c r="H12" s="2">
        <v>1</v>
      </c>
      <c r="I12" s="17" t="s">
        <v>396</v>
      </c>
      <c r="J12" s="17" t="s">
        <v>408</v>
      </c>
      <c r="K12" s="2">
        <v>7</v>
      </c>
      <c r="L12" s="2">
        <v>7</v>
      </c>
      <c r="M12" s="2">
        <v>1</v>
      </c>
      <c r="N12" s="2" t="s">
        <v>409</v>
      </c>
      <c r="O12" s="1">
        <v>0</v>
      </c>
      <c r="P12" s="1">
        <v>0</v>
      </c>
    </row>
    <row r="13" customFormat="1" customHeight="1" spans="1:16">
      <c r="A13" s="2"/>
      <c r="B13" s="2"/>
      <c r="C13" s="1">
        <v>201008</v>
      </c>
      <c r="D13" s="2">
        <v>10</v>
      </c>
      <c r="E13" s="2">
        <f t="shared" si="0"/>
        <v>20</v>
      </c>
      <c r="F13" s="2" t="s">
        <v>410</v>
      </c>
      <c r="G13" s="1">
        <v>4</v>
      </c>
      <c r="H13" s="1">
        <v>4</v>
      </c>
      <c r="I13" s="17" t="s">
        <v>31</v>
      </c>
      <c r="J13" s="17" t="s">
        <v>411</v>
      </c>
      <c r="K13" s="2">
        <v>8</v>
      </c>
      <c r="L13" s="2">
        <v>7</v>
      </c>
      <c r="M13" s="2">
        <v>1</v>
      </c>
      <c r="N13" s="8"/>
      <c r="O13" s="1">
        <v>0</v>
      </c>
      <c r="P13" s="1">
        <v>0</v>
      </c>
    </row>
    <row r="14" customFormat="1" customHeight="1" spans="1:16">
      <c r="A14" s="2"/>
      <c r="B14" s="2"/>
      <c r="C14" s="1">
        <v>201009</v>
      </c>
      <c r="D14" s="2">
        <v>10</v>
      </c>
      <c r="E14" s="2">
        <f t="shared" si="0"/>
        <v>20</v>
      </c>
      <c r="F14" s="2" t="s">
        <v>412</v>
      </c>
      <c r="G14" s="1">
        <v>10</v>
      </c>
      <c r="H14" s="1">
        <v>10</v>
      </c>
      <c r="I14" s="17" t="s">
        <v>27</v>
      </c>
      <c r="J14" s="17" t="s">
        <v>408</v>
      </c>
      <c r="K14" s="2">
        <v>9</v>
      </c>
      <c r="L14" s="2">
        <v>7</v>
      </c>
      <c r="M14" s="2">
        <v>1</v>
      </c>
      <c r="N14" s="8"/>
      <c r="O14" s="1">
        <v>0</v>
      </c>
      <c r="P14" s="1">
        <v>0</v>
      </c>
    </row>
    <row r="15" customFormat="1" customHeight="1" spans="1:16">
      <c r="A15" s="2"/>
      <c r="B15" s="2"/>
      <c r="C15" s="1">
        <v>201010</v>
      </c>
      <c r="D15" s="2">
        <v>10</v>
      </c>
      <c r="E15" s="2">
        <f t="shared" si="0"/>
        <v>25</v>
      </c>
      <c r="F15" s="2" t="s">
        <v>413</v>
      </c>
      <c r="G15" s="1">
        <v>4</v>
      </c>
      <c r="H15" s="1">
        <v>4</v>
      </c>
      <c r="I15" s="18" t="s">
        <v>396</v>
      </c>
      <c r="J15" s="18" t="s">
        <v>414</v>
      </c>
      <c r="K15" s="2">
        <v>10</v>
      </c>
      <c r="L15" s="2">
        <v>7</v>
      </c>
      <c r="M15" s="2">
        <v>1</v>
      </c>
      <c r="N15" s="2" t="s">
        <v>415</v>
      </c>
      <c r="O15" s="1">
        <v>0</v>
      </c>
      <c r="P15" s="1">
        <v>0</v>
      </c>
    </row>
    <row r="16" customFormat="1" customHeight="1" spans="1:16">
      <c r="A16" s="2"/>
      <c r="B16" s="2"/>
      <c r="C16" s="1">
        <v>201011</v>
      </c>
      <c r="D16" s="2">
        <v>10</v>
      </c>
      <c r="E16" s="2">
        <f t="shared" si="0"/>
        <v>25</v>
      </c>
      <c r="F16" s="2" t="s">
        <v>416</v>
      </c>
      <c r="G16" s="1">
        <v>3</v>
      </c>
      <c r="H16" s="1">
        <v>3</v>
      </c>
      <c r="I16" s="17" t="s">
        <v>27</v>
      </c>
      <c r="J16" s="18" t="s">
        <v>414</v>
      </c>
      <c r="K16" s="2">
        <v>11</v>
      </c>
      <c r="L16" s="2">
        <v>7</v>
      </c>
      <c r="M16" s="2">
        <v>1</v>
      </c>
      <c r="N16" s="2"/>
      <c r="O16" s="1">
        <v>0</v>
      </c>
      <c r="P16" s="1">
        <v>0</v>
      </c>
    </row>
    <row r="17" customFormat="1" customHeight="1" spans="1:16">
      <c r="A17" s="2"/>
      <c r="B17" s="2"/>
      <c r="C17" s="1">
        <v>201012</v>
      </c>
      <c r="D17" s="2">
        <v>10</v>
      </c>
      <c r="E17" s="2">
        <f t="shared" si="0"/>
        <v>25</v>
      </c>
      <c r="F17" s="2" t="s">
        <v>417</v>
      </c>
      <c r="G17" s="1">
        <v>7</v>
      </c>
      <c r="H17" s="17" t="s">
        <v>36</v>
      </c>
      <c r="I17" s="17" t="s">
        <v>31</v>
      </c>
      <c r="J17" s="17" t="s">
        <v>418</v>
      </c>
      <c r="K17" s="2">
        <v>12</v>
      </c>
      <c r="L17" s="2">
        <v>7</v>
      </c>
      <c r="M17" s="2">
        <v>1</v>
      </c>
      <c r="N17" s="2"/>
      <c r="O17" s="1">
        <v>0</v>
      </c>
      <c r="P17" s="1">
        <v>0</v>
      </c>
    </row>
    <row r="18" s="1" customFormat="1" customHeight="1" spans="1:16">
      <c r="A18" s="2"/>
      <c r="B18" s="2"/>
      <c r="C18" s="1">
        <v>201013</v>
      </c>
      <c r="D18" s="2">
        <v>10</v>
      </c>
      <c r="E18" s="2">
        <f t="shared" si="0"/>
        <v>30</v>
      </c>
      <c r="F18" s="2" t="s">
        <v>419</v>
      </c>
      <c r="G18" s="2">
        <v>1</v>
      </c>
      <c r="H18" s="2">
        <v>1</v>
      </c>
      <c r="I18" s="17" t="s">
        <v>396</v>
      </c>
      <c r="J18" s="17" t="s">
        <v>420</v>
      </c>
      <c r="K18" s="2">
        <v>13</v>
      </c>
      <c r="L18" s="2">
        <v>7</v>
      </c>
      <c r="M18" s="2">
        <v>1</v>
      </c>
      <c r="N18" s="2" t="s">
        <v>421</v>
      </c>
      <c r="O18" s="1">
        <v>0</v>
      </c>
      <c r="P18" s="1">
        <v>0</v>
      </c>
    </row>
    <row r="19" s="1" customFormat="1" customHeight="1" spans="1:16">
      <c r="A19" s="2"/>
      <c r="B19" s="2"/>
      <c r="C19" s="1">
        <v>201014</v>
      </c>
      <c r="D19" s="2">
        <v>10</v>
      </c>
      <c r="E19" s="2">
        <f t="shared" si="0"/>
        <v>30</v>
      </c>
      <c r="F19" s="2" t="s">
        <v>422</v>
      </c>
      <c r="G19" s="1">
        <v>5</v>
      </c>
      <c r="H19" s="17" t="s">
        <v>34</v>
      </c>
      <c r="I19" s="17" t="s">
        <v>31</v>
      </c>
      <c r="J19" s="17" t="s">
        <v>423</v>
      </c>
      <c r="K19" s="2">
        <v>14</v>
      </c>
      <c r="L19" s="2">
        <v>7</v>
      </c>
      <c r="M19" s="2">
        <v>1</v>
      </c>
      <c r="N19" s="2"/>
      <c r="O19" s="1">
        <v>0</v>
      </c>
      <c r="P19" s="1">
        <v>0</v>
      </c>
    </row>
    <row r="20" s="1" customFormat="1" customHeight="1" spans="1:16">
      <c r="A20" s="2"/>
      <c r="B20" s="2"/>
      <c r="C20" s="1">
        <v>201015</v>
      </c>
      <c r="D20" s="2">
        <v>10</v>
      </c>
      <c r="E20" s="2">
        <f t="shared" si="0"/>
        <v>30</v>
      </c>
      <c r="F20" s="2" t="s">
        <v>424</v>
      </c>
      <c r="G20" s="1">
        <v>9</v>
      </c>
      <c r="H20" s="1">
        <v>9</v>
      </c>
      <c r="I20" s="17" t="s">
        <v>27</v>
      </c>
      <c r="J20" s="17" t="s">
        <v>420</v>
      </c>
      <c r="K20" s="2">
        <v>15</v>
      </c>
      <c r="L20" s="2">
        <v>7</v>
      </c>
      <c r="M20" s="2">
        <v>1</v>
      </c>
      <c r="N20" s="2"/>
      <c r="O20" s="1">
        <v>0</v>
      </c>
      <c r="P20" s="1">
        <v>0</v>
      </c>
    </row>
    <row r="21" s="1" customFormat="1" customHeight="1" spans="1:16">
      <c r="A21" s="2"/>
      <c r="B21" s="2"/>
      <c r="C21" s="1">
        <v>201016</v>
      </c>
      <c r="D21" s="2">
        <v>10</v>
      </c>
      <c r="E21" s="2">
        <f t="shared" si="0"/>
        <v>35</v>
      </c>
      <c r="F21" s="2" t="s">
        <v>425</v>
      </c>
      <c r="G21" s="1">
        <v>7</v>
      </c>
      <c r="H21" s="17" t="s">
        <v>36</v>
      </c>
      <c r="I21" s="17" t="s">
        <v>396</v>
      </c>
      <c r="J21" s="17" t="s">
        <v>426</v>
      </c>
      <c r="K21" s="2">
        <v>16</v>
      </c>
      <c r="L21" s="2">
        <v>7</v>
      </c>
      <c r="M21" s="2">
        <v>1</v>
      </c>
      <c r="N21" s="2" t="s">
        <v>427</v>
      </c>
      <c r="O21" s="1">
        <v>0</v>
      </c>
      <c r="P21" s="1">
        <v>0</v>
      </c>
    </row>
    <row r="22" s="1" customFormat="1" customHeight="1" spans="1:16">
      <c r="A22" s="2"/>
      <c r="B22" s="2"/>
      <c r="C22" s="1">
        <v>201017</v>
      </c>
      <c r="D22" s="2">
        <v>10</v>
      </c>
      <c r="E22" s="2">
        <f t="shared" si="0"/>
        <v>35</v>
      </c>
      <c r="F22" s="2" t="s">
        <v>428</v>
      </c>
      <c r="G22" s="2">
        <v>2</v>
      </c>
      <c r="H22" s="2">
        <v>2</v>
      </c>
      <c r="I22" s="17" t="s">
        <v>31</v>
      </c>
      <c r="J22" s="17" t="s">
        <v>429</v>
      </c>
      <c r="K22" s="2">
        <v>17</v>
      </c>
      <c r="L22" s="2">
        <v>7</v>
      </c>
      <c r="M22" s="2">
        <v>1</v>
      </c>
      <c r="N22" s="2"/>
      <c r="O22" s="1">
        <v>0</v>
      </c>
      <c r="P22" s="1">
        <v>0</v>
      </c>
    </row>
    <row r="23" s="1" customFormat="1" customHeight="1" spans="1:16">
      <c r="A23" s="2"/>
      <c r="B23" s="2"/>
      <c r="C23" s="1">
        <v>201018</v>
      </c>
      <c r="D23" s="2">
        <v>10</v>
      </c>
      <c r="E23" s="2">
        <f t="shared" si="0"/>
        <v>35</v>
      </c>
      <c r="F23" s="2" t="s">
        <v>430</v>
      </c>
      <c r="G23" s="1">
        <v>10</v>
      </c>
      <c r="H23" s="1">
        <v>10</v>
      </c>
      <c r="I23" s="17" t="s">
        <v>27</v>
      </c>
      <c r="J23" s="17" t="s">
        <v>426</v>
      </c>
      <c r="K23" s="2">
        <v>18</v>
      </c>
      <c r="L23" s="2">
        <v>7</v>
      </c>
      <c r="M23" s="2">
        <v>1</v>
      </c>
      <c r="N23" s="2"/>
      <c r="O23" s="1">
        <v>0</v>
      </c>
      <c r="P23" s="1">
        <v>0</v>
      </c>
    </row>
    <row r="24" s="1" customFormat="1" customHeight="1" spans="1:16">
      <c r="A24" s="2"/>
      <c r="C24" s="1">
        <v>201019</v>
      </c>
      <c r="D24" s="2">
        <v>10</v>
      </c>
      <c r="E24" s="2">
        <f t="shared" si="0"/>
        <v>40</v>
      </c>
      <c r="F24" s="2" t="s">
        <v>431</v>
      </c>
      <c r="G24" s="1">
        <v>1</v>
      </c>
      <c r="H24" s="1">
        <v>1</v>
      </c>
      <c r="I24" s="17" t="s">
        <v>396</v>
      </c>
      <c r="J24" s="17" t="s">
        <v>432</v>
      </c>
      <c r="K24" s="2">
        <v>19</v>
      </c>
      <c r="L24" s="2">
        <v>7</v>
      </c>
      <c r="M24" s="2">
        <v>1</v>
      </c>
      <c r="N24" s="2" t="s">
        <v>433</v>
      </c>
      <c r="O24" s="1">
        <v>0</v>
      </c>
      <c r="P24" s="1">
        <v>0</v>
      </c>
    </row>
    <row r="25" s="1" customFormat="1" customHeight="1" spans="1:16">
      <c r="A25" s="2"/>
      <c r="C25" s="1">
        <v>201020</v>
      </c>
      <c r="D25" s="2">
        <v>10</v>
      </c>
      <c r="E25" s="2">
        <f t="shared" si="0"/>
        <v>40</v>
      </c>
      <c r="F25" s="2" t="s">
        <v>434</v>
      </c>
      <c r="G25" s="1">
        <v>5</v>
      </c>
      <c r="H25" s="17" t="s">
        <v>34</v>
      </c>
      <c r="I25" s="17" t="s">
        <v>31</v>
      </c>
      <c r="J25" s="17" t="s">
        <v>435</v>
      </c>
      <c r="K25" s="2">
        <v>20</v>
      </c>
      <c r="L25" s="2">
        <v>7</v>
      </c>
      <c r="M25" s="2">
        <v>1</v>
      </c>
      <c r="N25" s="2"/>
      <c r="O25" s="1">
        <v>0</v>
      </c>
      <c r="P25" s="1">
        <v>0</v>
      </c>
    </row>
    <row r="26" s="1" customFormat="1" customHeight="1" spans="1:16">
      <c r="A26" s="2"/>
      <c r="C26" s="1">
        <v>201021</v>
      </c>
      <c r="D26" s="2">
        <v>10</v>
      </c>
      <c r="E26" s="2">
        <f t="shared" si="0"/>
        <v>40</v>
      </c>
      <c r="F26" s="2" t="s">
        <v>436</v>
      </c>
      <c r="G26" s="1">
        <v>7</v>
      </c>
      <c r="H26" s="17" t="s">
        <v>36</v>
      </c>
      <c r="I26" s="17" t="s">
        <v>27</v>
      </c>
      <c r="J26" s="17" t="s">
        <v>432</v>
      </c>
      <c r="K26" s="2">
        <v>21</v>
      </c>
      <c r="L26" s="2">
        <v>7</v>
      </c>
      <c r="M26" s="2">
        <v>1</v>
      </c>
      <c r="N26" s="2"/>
      <c r="O26" s="1">
        <v>0</v>
      </c>
      <c r="P26" s="1">
        <v>0</v>
      </c>
    </row>
    <row r="27" s="1" customFormat="1" customHeight="1" spans="1:16">
      <c r="A27" s="2"/>
      <c r="B27" s="2"/>
      <c r="C27" s="1">
        <v>201022</v>
      </c>
      <c r="D27" s="2">
        <v>10</v>
      </c>
      <c r="E27" s="2">
        <f t="shared" si="0"/>
        <v>45</v>
      </c>
      <c r="F27" s="2" t="s">
        <v>437</v>
      </c>
      <c r="G27" s="1">
        <v>1</v>
      </c>
      <c r="H27" s="1">
        <v>1</v>
      </c>
      <c r="I27" s="17" t="s">
        <v>396</v>
      </c>
      <c r="J27" s="17" t="s">
        <v>438</v>
      </c>
      <c r="K27" s="2">
        <v>22</v>
      </c>
      <c r="L27" s="2">
        <v>7</v>
      </c>
      <c r="M27" s="2">
        <v>1</v>
      </c>
      <c r="N27" s="2" t="s">
        <v>439</v>
      </c>
      <c r="O27" s="1">
        <v>0</v>
      </c>
      <c r="P27" s="1">
        <v>0</v>
      </c>
    </row>
    <row r="28" s="1" customFormat="1" customHeight="1" spans="1:16">
      <c r="A28" s="2"/>
      <c r="B28" s="2"/>
      <c r="C28" s="1">
        <v>201023</v>
      </c>
      <c r="D28" s="2">
        <v>10</v>
      </c>
      <c r="E28" s="2">
        <f t="shared" si="0"/>
        <v>45</v>
      </c>
      <c r="F28" s="2" t="s">
        <v>440</v>
      </c>
      <c r="G28" s="1">
        <v>3</v>
      </c>
      <c r="H28" s="1">
        <v>3</v>
      </c>
      <c r="I28" s="17" t="s">
        <v>31</v>
      </c>
      <c r="J28" s="17" t="s">
        <v>441</v>
      </c>
      <c r="K28" s="2">
        <v>23</v>
      </c>
      <c r="L28" s="2">
        <v>7</v>
      </c>
      <c r="M28" s="2">
        <v>1</v>
      </c>
      <c r="N28" s="2"/>
      <c r="O28" s="1">
        <v>0</v>
      </c>
      <c r="P28" s="1">
        <v>0</v>
      </c>
    </row>
    <row r="29" s="1" customFormat="1" customHeight="1" spans="1:16">
      <c r="A29" s="2"/>
      <c r="B29" s="2"/>
      <c r="C29" s="1">
        <v>201024</v>
      </c>
      <c r="D29" s="2">
        <v>10</v>
      </c>
      <c r="E29" s="2">
        <f t="shared" si="0"/>
        <v>45</v>
      </c>
      <c r="F29" s="2" t="s">
        <v>442</v>
      </c>
      <c r="G29" s="1">
        <v>7</v>
      </c>
      <c r="H29" s="17" t="s">
        <v>36</v>
      </c>
      <c r="I29" s="17" t="s">
        <v>27</v>
      </c>
      <c r="J29" s="17" t="s">
        <v>438</v>
      </c>
      <c r="K29" s="2">
        <v>24</v>
      </c>
      <c r="L29" s="2">
        <v>7</v>
      </c>
      <c r="M29" s="2">
        <v>1</v>
      </c>
      <c r="N29" s="2"/>
      <c r="O29" s="1">
        <v>0</v>
      </c>
      <c r="P29" s="1">
        <v>0</v>
      </c>
    </row>
    <row r="30" s="1" customFormat="1" customHeight="1" spans="1:16">
      <c r="A30" s="2"/>
      <c r="B30" s="2"/>
      <c r="C30" s="1">
        <v>201025</v>
      </c>
      <c r="D30" s="2">
        <v>10</v>
      </c>
      <c r="E30" s="2">
        <f t="shared" si="0"/>
        <v>50</v>
      </c>
      <c r="F30" s="2" t="s">
        <v>443</v>
      </c>
      <c r="G30" s="1">
        <v>4</v>
      </c>
      <c r="H30" s="1">
        <v>4</v>
      </c>
      <c r="I30" s="18" t="s">
        <v>31</v>
      </c>
      <c r="J30" s="17" t="s">
        <v>444</v>
      </c>
      <c r="K30" s="2">
        <v>25</v>
      </c>
      <c r="L30" s="2">
        <v>7</v>
      </c>
      <c r="M30" s="2">
        <v>1</v>
      </c>
      <c r="N30" s="2" t="s">
        <v>445</v>
      </c>
      <c r="O30" s="1">
        <v>0</v>
      </c>
      <c r="P30" s="1">
        <v>0</v>
      </c>
    </row>
    <row r="31" s="1" customFormat="1" customHeight="1" spans="1:16">
      <c r="A31" s="2"/>
      <c r="B31" s="2"/>
      <c r="C31" s="1">
        <v>201026</v>
      </c>
      <c r="D31" s="2">
        <v>10</v>
      </c>
      <c r="E31" s="2">
        <f t="shared" si="0"/>
        <v>50</v>
      </c>
      <c r="F31" s="2" t="s">
        <v>446</v>
      </c>
      <c r="G31" s="1">
        <v>5</v>
      </c>
      <c r="H31" s="17" t="s">
        <v>34</v>
      </c>
      <c r="I31" s="17" t="s">
        <v>396</v>
      </c>
      <c r="J31" s="17" t="s">
        <v>447</v>
      </c>
      <c r="K31" s="2">
        <v>26</v>
      </c>
      <c r="L31" s="2">
        <v>7</v>
      </c>
      <c r="M31" s="2">
        <v>1</v>
      </c>
      <c r="N31" s="2"/>
      <c r="O31" s="1">
        <v>0</v>
      </c>
      <c r="P31" s="1">
        <v>0</v>
      </c>
    </row>
    <row r="32" s="1" customFormat="1" customHeight="1" spans="1:16">
      <c r="A32" s="2"/>
      <c r="B32" s="2"/>
      <c r="C32" s="1">
        <v>201027</v>
      </c>
      <c r="D32" s="2">
        <v>10</v>
      </c>
      <c r="E32" s="2">
        <f t="shared" si="0"/>
        <v>50</v>
      </c>
      <c r="F32" s="2" t="s">
        <v>448</v>
      </c>
      <c r="G32" s="2">
        <v>2</v>
      </c>
      <c r="H32" s="2">
        <v>2</v>
      </c>
      <c r="I32" s="17" t="s">
        <v>27</v>
      </c>
      <c r="J32" s="17" t="s">
        <v>447</v>
      </c>
      <c r="K32" s="2">
        <v>27</v>
      </c>
      <c r="L32" s="2">
        <v>7</v>
      </c>
      <c r="M32" s="2">
        <v>1</v>
      </c>
      <c r="N32" s="2"/>
      <c r="O32" s="1">
        <v>0</v>
      </c>
      <c r="P32" s="1">
        <v>0</v>
      </c>
    </row>
    <row r="33" s="1" customFormat="1" customHeight="1" spans="1:16">
      <c r="A33" s="2"/>
      <c r="B33" s="2"/>
      <c r="C33" s="1">
        <v>201028</v>
      </c>
      <c r="D33" s="2">
        <v>10</v>
      </c>
      <c r="E33" s="2">
        <f t="shared" si="0"/>
        <v>55</v>
      </c>
      <c r="F33" s="2" t="s">
        <v>449</v>
      </c>
      <c r="G33" s="1">
        <v>7</v>
      </c>
      <c r="H33" s="17" t="s">
        <v>36</v>
      </c>
      <c r="I33" s="17" t="s">
        <v>31</v>
      </c>
      <c r="J33" s="17" t="s">
        <v>450</v>
      </c>
      <c r="K33" s="2">
        <v>28</v>
      </c>
      <c r="L33" s="2">
        <v>7</v>
      </c>
      <c r="M33" s="2">
        <v>1</v>
      </c>
      <c r="N33" s="2" t="s">
        <v>451</v>
      </c>
      <c r="O33" s="1">
        <v>0</v>
      </c>
      <c r="P33" s="1">
        <v>0</v>
      </c>
    </row>
    <row r="34" s="1" customFormat="1" customHeight="1" spans="1:16">
      <c r="A34" s="2"/>
      <c r="B34" s="2"/>
      <c r="C34" s="1">
        <v>201029</v>
      </c>
      <c r="D34" s="2">
        <v>10</v>
      </c>
      <c r="E34" s="2">
        <f t="shared" si="0"/>
        <v>55</v>
      </c>
      <c r="F34" s="2" t="s">
        <v>452</v>
      </c>
      <c r="G34" s="1">
        <v>3</v>
      </c>
      <c r="H34" s="1">
        <v>3</v>
      </c>
      <c r="I34" s="17" t="s">
        <v>396</v>
      </c>
      <c r="J34" s="17" t="s">
        <v>453</v>
      </c>
      <c r="K34" s="2">
        <v>29</v>
      </c>
      <c r="L34" s="2">
        <v>7</v>
      </c>
      <c r="M34" s="2">
        <v>1</v>
      </c>
      <c r="N34" s="2"/>
      <c r="O34" s="1">
        <v>0</v>
      </c>
      <c r="P34" s="1">
        <v>0</v>
      </c>
    </row>
    <row r="35" s="1" customFormat="1" customHeight="1" spans="1:16">
      <c r="A35" s="2"/>
      <c r="B35" s="2"/>
      <c r="C35" s="1">
        <v>201030</v>
      </c>
      <c r="D35" s="2">
        <v>10</v>
      </c>
      <c r="E35" s="2">
        <f t="shared" si="0"/>
        <v>55</v>
      </c>
      <c r="F35" s="2" t="s">
        <v>454</v>
      </c>
      <c r="G35" s="1">
        <v>9</v>
      </c>
      <c r="H35" s="1">
        <v>9</v>
      </c>
      <c r="I35" s="17" t="s">
        <v>27</v>
      </c>
      <c r="J35" s="17" t="s">
        <v>453</v>
      </c>
      <c r="K35" s="2">
        <v>30</v>
      </c>
      <c r="L35" s="2">
        <v>7</v>
      </c>
      <c r="M35" s="2">
        <v>1</v>
      </c>
      <c r="N35" s="2"/>
      <c r="O35" s="1">
        <v>0</v>
      </c>
      <c r="P35" s="1">
        <v>0</v>
      </c>
    </row>
    <row r="36" customHeight="1" spans="1:16">
      <c r="C36" s="1">
        <v>201031</v>
      </c>
      <c r="D36" s="2">
        <v>10</v>
      </c>
      <c r="E36" s="2">
        <f t="shared" si="0"/>
        <v>60</v>
      </c>
      <c r="F36" s="1" t="s">
        <v>455</v>
      </c>
      <c r="G36" s="2">
        <v>1</v>
      </c>
      <c r="H36" s="2">
        <v>1</v>
      </c>
      <c r="I36" s="17" t="s">
        <v>31</v>
      </c>
      <c r="J36" s="17" t="s">
        <v>456</v>
      </c>
      <c r="K36" s="2">
        <v>31</v>
      </c>
      <c r="L36" s="2">
        <v>7</v>
      </c>
      <c r="M36" s="2">
        <v>1</v>
      </c>
      <c r="N36" s="2"/>
      <c r="O36" s="1">
        <v>0</v>
      </c>
      <c r="P36" s="1">
        <v>0</v>
      </c>
    </row>
    <row r="37" customHeight="1" spans="1:16">
      <c r="C37" s="1">
        <v>201032</v>
      </c>
      <c r="D37" s="2">
        <v>10</v>
      </c>
      <c r="E37" s="2">
        <f t="shared" si="0"/>
        <v>60</v>
      </c>
      <c r="F37" s="1" t="s">
        <v>457</v>
      </c>
      <c r="G37" s="1">
        <v>4</v>
      </c>
      <c r="H37" s="1">
        <v>4</v>
      </c>
      <c r="I37" s="17" t="s">
        <v>396</v>
      </c>
      <c r="J37" s="17" t="s">
        <v>458</v>
      </c>
      <c r="K37" s="2">
        <v>32</v>
      </c>
      <c r="L37" s="2">
        <v>7</v>
      </c>
      <c r="M37" s="2">
        <v>1</v>
      </c>
      <c r="N37" s="2"/>
      <c r="O37" s="1">
        <v>0</v>
      </c>
      <c r="P37" s="1">
        <v>0</v>
      </c>
    </row>
    <row r="38" customFormat="1" customHeight="1" spans="1:16">
      <c r="A38" s="1"/>
      <c r="B38" s="1"/>
      <c r="C38" s="1">
        <v>201033</v>
      </c>
      <c r="D38" s="2">
        <v>10</v>
      </c>
      <c r="E38" s="2">
        <f t="shared" si="0"/>
        <v>60</v>
      </c>
      <c r="F38" s="1" t="s">
        <v>459</v>
      </c>
      <c r="G38" s="1">
        <v>5</v>
      </c>
      <c r="H38" s="17" t="s">
        <v>34</v>
      </c>
      <c r="I38" s="17" t="s">
        <v>27</v>
      </c>
      <c r="J38" s="17" t="s">
        <v>458</v>
      </c>
      <c r="K38" s="2">
        <v>33</v>
      </c>
      <c r="L38" s="2">
        <v>7</v>
      </c>
      <c r="M38" s="2">
        <v>1</v>
      </c>
      <c r="N38" s="2"/>
      <c r="O38" s="1">
        <v>0</v>
      </c>
      <c r="P38" s="1">
        <v>0</v>
      </c>
    </row>
    <row r="39" customFormat="1" customHeight="1" spans="1:16">
      <c r="A39" s="1"/>
      <c r="B39" s="1"/>
      <c r="C39" s="1">
        <v>201034</v>
      </c>
      <c r="D39" s="2">
        <v>10</v>
      </c>
      <c r="E39" s="2">
        <f t="shared" si="0"/>
        <v>65</v>
      </c>
      <c r="F39" s="1" t="s">
        <v>460</v>
      </c>
      <c r="G39" s="2">
        <v>2</v>
      </c>
      <c r="H39" s="2">
        <v>2</v>
      </c>
      <c r="I39" s="17" t="s">
        <v>31</v>
      </c>
      <c r="J39" s="17" t="s">
        <v>461</v>
      </c>
      <c r="K39" s="2">
        <v>34</v>
      </c>
      <c r="L39" s="2">
        <v>7</v>
      </c>
      <c r="M39" s="2">
        <v>1</v>
      </c>
      <c r="N39" s="2"/>
      <c r="O39" s="1">
        <v>0</v>
      </c>
      <c r="P39" s="1">
        <v>0</v>
      </c>
    </row>
    <row r="40" customFormat="1" customHeight="1" spans="1:16">
      <c r="A40" s="1"/>
      <c r="B40" s="1"/>
      <c r="C40" s="1">
        <v>201035</v>
      </c>
      <c r="D40" s="2">
        <v>10</v>
      </c>
      <c r="E40" s="2">
        <f t="shared" si="0"/>
        <v>65</v>
      </c>
      <c r="F40" s="1" t="s">
        <v>462</v>
      </c>
      <c r="G40" s="1">
        <v>7</v>
      </c>
      <c r="H40" s="17" t="s">
        <v>36</v>
      </c>
      <c r="I40" s="17" t="s">
        <v>396</v>
      </c>
      <c r="J40" s="17" t="s">
        <v>463</v>
      </c>
      <c r="K40" s="2">
        <v>35</v>
      </c>
      <c r="L40" s="2">
        <v>7</v>
      </c>
      <c r="M40" s="2">
        <v>1</v>
      </c>
      <c r="N40" s="2"/>
      <c r="O40" s="1">
        <v>0</v>
      </c>
      <c r="P40" s="1">
        <v>0</v>
      </c>
    </row>
    <row r="41" customFormat="1" customHeight="1" spans="1:16">
      <c r="A41" s="1"/>
      <c r="B41" s="1"/>
      <c r="C41" s="1">
        <v>201036</v>
      </c>
      <c r="D41" s="2">
        <v>10</v>
      </c>
      <c r="E41" s="2">
        <f t="shared" si="0"/>
        <v>65</v>
      </c>
      <c r="F41" s="1" t="s">
        <v>464</v>
      </c>
      <c r="G41" s="1">
        <v>10</v>
      </c>
      <c r="H41" s="1">
        <v>10</v>
      </c>
      <c r="I41" s="17" t="s">
        <v>27</v>
      </c>
      <c r="J41" s="17" t="s">
        <v>463</v>
      </c>
      <c r="K41" s="2">
        <v>36</v>
      </c>
      <c r="L41" s="2">
        <v>7</v>
      </c>
      <c r="M41" s="2">
        <v>1</v>
      </c>
      <c r="N41" s="2"/>
      <c r="O41" s="1">
        <v>0</v>
      </c>
      <c r="P41" s="1">
        <v>0</v>
      </c>
    </row>
    <row r="42" customFormat="1" customHeight="1" spans="1:16">
      <c r="A42" s="1"/>
      <c r="B42" s="1"/>
      <c r="C42" s="1">
        <v>201037</v>
      </c>
      <c r="D42" s="2">
        <v>10</v>
      </c>
      <c r="E42" s="2">
        <f t="shared" si="0"/>
        <v>70</v>
      </c>
      <c r="F42" s="1" t="s">
        <v>465</v>
      </c>
      <c r="G42" s="1">
        <v>4</v>
      </c>
      <c r="H42" s="1">
        <v>4</v>
      </c>
      <c r="I42" s="17" t="s">
        <v>31</v>
      </c>
      <c r="J42" s="17" t="s">
        <v>466</v>
      </c>
      <c r="K42" s="2">
        <v>37</v>
      </c>
      <c r="L42" s="2">
        <v>7</v>
      </c>
      <c r="M42" s="2">
        <v>1</v>
      </c>
      <c r="N42" s="2"/>
      <c r="O42" s="1">
        <v>0</v>
      </c>
      <c r="P42" s="1">
        <v>0</v>
      </c>
    </row>
    <row r="43" customFormat="1" customHeight="1" spans="1:16">
      <c r="A43" s="1"/>
      <c r="B43" s="1"/>
      <c r="C43" s="1">
        <v>201038</v>
      </c>
      <c r="D43" s="2">
        <v>10</v>
      </c>
      <c r="E43" s="2">
        <f t="shared" si="0"/>
        <v>70</v>
      </c>
      <c r="F43" s="1" t="s">
        <v>467</v>
      </c>
      <c r="G43" s="1">
        <v>5</v>
      </c>
      <c r="H43" s="17" t="s">
        <v>34</v>
      </c>
      <c r="I43" s="17" t="s">
        <v>396</v>
      </c>
      <c r="J43" s="17" t="s">
        <v>468</v>
      </c>
      <c r="K43" s="2">
        <v>38</v>
      </c>
      <c r="L43" s="2">
        <v>7</v>
      </c>
      <c r="M43" s="2">
        <v>1</v>
      </c>
      <c r="N43" s="2"/>
      <c r="O43" s="1">
        <v>0</v>
      </c>
      <c r="P43" s="1">
        <v>0</v>
      </c>
    </row>
    <row r="44" customFormat="1" customHeight="1" spans="1:16">
      <c r="A44" s="1"/>
      <c r="B44" s="1"/>
      <c r="C44" s="1">
        <v>201039</v>
      </c>
      <c r="D44" s="2">
        <v>10</v>
      </c>
      <c r="E44" s="2">
        <f t="shared" si="0"/>
        <v>70</v>
      </c>
      <c r="F44" s="1" t="s">
        <v>469</v>
      </c>
      <c r="G44" s="2">
        <v>2</v>
      </c>
      <c r="H44" s="2">
        <v>2</v>
      </c>
      <c r="I44" s="17" t="s">
        <v>27</v>
      </c>
      <c r="J44" s="17" t="s">
        <v>468</v>
      </c>
      <c r="K44" s="2">
        <v>39</v>
      </c>
      <c r="L44" s="2">
        <v>7</v>
      </c>
      <c r="M44" s="2">
        <v>1</v>
      </c>
      <c r="N44" s="2"/>
      <c r="O44" s="1">
        <v>0</v>
      </c>
      <c r="P44" s="1">
        <v>0</v>
      </c>
    </row>
    <row r="45" customFormat="1" customHeight="1" spans="1:16">
      <c r="A45" s="1"/>
      <c r="B45" s="1"/>
      <c r="C45" s="1">
        <v>201040</v>
      </c>
      <c r="D45" s="2">
        <v>10</v>
      </c>
      <c r="E45" s="2">
        <f t="shared" ref="E45:E50" si="1">E42+5</f>
        <v>75</v>
      </c>
      <c r="F45" s="1" t="s">
        <v>470</v>
      </c>
      <c r="G45" s="2">
        <v>2</v>
      </c>
      <c r="H45" s="2">
        <v>2</v>
      </c>
      <c r="I45" s="17" t="s">
        <v>31</v>
      </c>
      <c r="J45" s="17" t="s">
        <v>466</v>
      </c>
      <c r="K45" s="2">
        <v>40</v>
      </c>
      <c r="L45" s="2">
        <v>7</v>
      </c>
      <c r="M45" s="2">
        <v>1</v>
      </c>
      <c r="N45" s="2"/>
      <c r="O45" s="1">
        <v>0</v>
      </c>
      <c r="P45" s="1">
        <v>0</v>
      </c>
    </row>
    <row r="46" customFormat="1" customHeight="1" spans="1:16">
      <c r="A46" s="1"/>
      <c r="B46" s="1"/>
      <c r="C46" s="1">
        <v>201041</v>
      </c>
      <c r="D46" s="2">
        <v>10</v>
      </c>
      <c r="E46" s="2">
        <f t="shared" si="1"/>
        <v>75</v>
      </c>
      <c r="F46" s="1" t="s">
        <v>471</v>
      </c>
      <c r="G46" s="1">
        <v>9</v>
      </c>
      <c r="H46" s="1">
        <v>9</v>
      </c>
      <c r="I46" s="17" t="s">
        <v>396</v>
      </c>
      <c r="J46" s="17" t="s">
        <v>468</v>
      </c>
      <c r="K46" s="2">
        <v>41</v>
      </c>
      <c r="L46" s="2">
        <v>7</v>
      </c>
      <c r="M46" s="2">
        <v>1</v>
      </c>
      <c r="N46" s="2"/>
      <c r="O46" s="1">
        <v>0</v>
      </c>
      <c r="P46" s="1">
        <v>0</v>
      </c>
    </row>
    <row r="47" customFormat="1" customHeight="1" spans="1:16">
      <c r="A47" s="1"/>
      <c r="B47" s="1"/>
      <c r="C47" s="1">
        <v>201042</v>
      </c>
      <c r="D47" s="2">
        <v>10</v>
      </c>
      <c r="E47" s="2">
        <f t="shared" si="1"/>
        <v>75</v>
      </c>
      <c r="F47" s="1" t="s">
        <v>472</v>
      </c>
      <c r="G47" s="1">
        <v>10</v>
      </c>
      <c r="H47" s="1">
        <v>10</v>
      </c>
      <c r="I47" s="17" t="s">
        <v>27</v>
      </c>
      <c r="J47" s="17" t="s">
        <v>468</v>
      </c>
      <c r="K47" s="2">
        <v>42</v>
      </c>
      <c r="L47" s="2">
        <v>7</v>
      </c>
      <c r="M47" s="2">
        <v>1</v>
      </c>
      <c r="N47" s="2"/>
      <c r="O47" s="1">
        <v>0</v>
      </c>
      <c r="P47" s="1">
        <v>0</v>
      </c>
    </row>
    <row r="48" customFormat="1" customHeight="1" spans="1:16">
      <c r="A48" s="1"/>
      <c r="B48" s="1"/>
      <c r="C48" s="1">
        <v>201043</v>
      </c>
      <c r="D48" s="2">
        <v>10</v>
      </c>
      <c r="E48" s="2">
        <f t="shared" si="1"/>
        <v>80</v>
      </c>
      <c r="F48" s="1" t="s">
        <v>473</v>
      </c>
      <c r="G48" s="2">
        <v>2</v>
      </c>
      <c r="H48" s="2">
        <v>2</v>
      </c>
      <c r="I48" s="17" t="s">
        <v>31</v>
      </c>
      <c r="J48" s="17" t="s">
        <v>466</v>
      </c>
      <c r="K48" s="2">
        <v>43</v>
      </c>
      <c r="L48" s="2">
        <v>7</v>
      </c>
      <c r="M48" s="2">
        <v>1</v>
      </c>
      <c r="N48" s="2"/>
      <c r="O48" s="1">
        <v>0</v>
      </c>
      <c r="P48" s="1">
        <v>0</v>
      </c>
    </row>
    <row r="49" customFormat="1" customHeight="1" spans="1:16">
      <c r="A49" s="1"/>
      <c r="B49" s="1"/>
      <c r="C49" s="1">
        <v>201044</v>
      </c>
      <c r="D49" s="2">
        <v>10</v>
      </c>
      <c r="E49" s="2">
        <f t="shared" si="1"/>
        <v>80</v>
      </c>
      <c r="F49" s="1" t="s">
        <v>474</v>
      </c>
      <c r="G49" s="1">
        <v>7</v>
      </c>
      <c r="H49" s="17" t="s">
        <v>36</v>
      </c>
      <c r="I49" s="17" t="s">
        <v>396</v>
      </c>
      <c r="J49" s="17" t="s">
        <v>468</v>
      </c>
      <c r="K49" s="2">
        <v>44</v>
      </c>
      <c r="L49" s="2">
        <v>7</v>
      </c>
      <c r="M49" s="2">
        <v>1</v>
      </c>
      <c r="N49" s="2"/>
      <c r="O49" s="1">
        <v>0</v>
      </c>
      <c r="P49" s="1">
        <v>0</v>
      </c>
    </row>
    <row r="50" customFormat="1" customHeight="1" spans="1:16">
      <c r="A50" s="1"/>
      <c r="B50" s="1"/>
      <c r="C50" s="1">
        <v>201045</v>
      </c>
      <c r="D50" s="2">
        <v>10</v>
      </c>
      <c r="E50" s="2">
        <f t="shared" si="1"/>
        <v>80</v>
      </c>
      <c r="F50" s="1" t="s">
        <v>475</v>
      </c>
      <c r="G50" s="1">
        <v>9</v>
      </c>
      <c r="H50" s="1">
        <v>9</v>
      </c>
      <c r="I50" s="17" t="s">
        <v>27</v>
      </c>
      <c r="J50" s="17" t="s">
        <v>468</v>
      </c>
      <c r="K50" s="2">
        <v>45</v>
      </c>
      <c r="L50" s="2">
        <v>7</v>
      </c>
      <c r="M50" s="2">
        <v>1</v>
      </c>
      <c r="N50" s="2"/>
      <c r="O50" s="1">
        <v>0</v>
      </c>
      <c r="P50" s="1">
        <v>0</v>
      </c>
    </row>
    <row r="51" customFormat="1" customHeight="1" spans="1:16">
      <c r="A51" s="1"/>
      <c r="B51" s="1"/>
      <c r="C51" s="1"/>
      <c r="D51" s="2"/>
      <c r="E51" s="2"/>
      <c r="F51" s="1"/>
      <c r="G51" s="1"/>
      <c r="H51" s="1"/>
      <c r="I51" s="1"/>
      <c r="J51" s="1"/>
      <c r="K51" s="2"/>
      <c r="L51" s="2"/>
      <c r="M51" s="2"/>
      <c r="N51" s="2"/>
      <c r="O51" s="1"/>
      <c r="P51" s="1"/>
    </row>
    <row r="52" s="1" customFormat="1" customHeight="1" spans="1:16">
      <c r="A52" s="2" t="s">
        <v>387</v>
      </c>
      <c r="B52" s="2" t="s">
        <v>387</v>
      </c>
      <c r="C52" s="2">
        <v>211037</v>
      </c>
      <c r="D52" s="2">
        <v>10</v>
      </c>
      <c r="E52" s="2">
        <v>10</v>
      </c>
      <c r="F52" s="2" t="s">
        <v>476</v>
      </c>
      <c r="G52" s="1">
        <v>1</v>
      </c>
      <c r="H52" s="1">
        <v>1</v>
      </c>
      <c r="I52" s="2"/>
      <c r="J52" s="2"/>
      <c r="K52" s="2">
        <v>10</v>
      </c>
      <c r="L52" s="2"/>
      <c r="M52" s="2"/>
      <c r="N52" s="2" t="s">
        <v>477</v>
      </c>
      <c r="O52" s="1">
        <v>0</v>
      </c>
      <c r="P52" s="1">
        <v>0</v>
      </c>
    </row>
    <row r="53" s="1" customFormat="1" customHeight="1" spans="1:16">
      <c r="A53" s="2" t="s">
        <v>387</v>
      </c>
      <c r="B53" s="2" t="s">
        <v>387</v>
      </c>
      <c r="C53" s="2">
        <v>211038</v>
      </c>
      <c r="D53" s="2">
        <v>10</v>
      </c>
      <c r="E53" s="2">
        <v>10</v>
      </c>
      <c r="F53" s="2" t="s">
        <v>478</v>
      </c>
      <c r="G53" s="1">
        <v>5</v>
      </c>
      <c r="H53" s="17" t="s">
        <v>34</v>
      </c>
      <c r="I53" s="2"/>
      <c r="J53" s="2"/>
      <c r="K53" s="2">
        <v>10</v>
      </c>
      <c r="L53" s="2"/>
      <c r="M53" s="2"/>
      <c r="N53" s="2"/>
      <c r="O53" s="1">
        <v>0</v>
      </c>
      <c r="P53" s="1">
        <v>0</v>
      </c>
    </row>
    <row r="54" s="1" customFormat="1" customHeight="1" spans="1:16">
      <c r="A54" s="2" t="s">
        <v>387</v>
      </c>
      <c r="B54" s="2" t="s">
        <v>387</v>
      </c>
      <c r="C54" s="2">
        <v>211039</v>
      </c>
      <c r="D54" s="2">
        <v>10</v>
      </c>
      <c r="E54" s="2">
        <v>10</v>
      </c>
      <c r="F54" s="2" t="s">
        <v>479</v>
      </c>
      <c r="G54" s="1">
        <v>7</v>
      </c>
      <c r="H54" s="17" t="s">
        <v>36</v>
      </c>
      <c r="I54" s="2"/>
      <c r="J54" s="2"/>
      <c r="K54" s="2">
        <v>10</v>
      </c>
      <c r="L54" s="2"/>
      <c r="M54" s="2"/>
      <c r="N54" s="2"/>
      <c r="O54" s="1">
        <v>0</v>
      </c>
      <c r="P54" s="1">
        <v>0</v>
      </c>
    </row>
    <row r="55" s="1" customFormat="1" customHeight="1" spans="1:16">
      <c r="A55" s="2" t="s">
        <v>387</v>
      </c>
      <c r="B55" s="2" t="s">
        <v>387</v>
      </c>
      <c r="C55" s="2">
        <v>211040</v>
      </c>
      <c r="D55" s="2">
        <v>10</v>
      </c>
      <c r="E55" s="2">
        <v>10</v>
      </c>
      <c r="F55" s="2" t="s">
        <v>480</v>
      </c>
      <c r="G55" s="1">
        <v>3</v>
      </c>
      <c r="H55" s="1">
        <v>3</v>
      </c>
      <c r="I55" s="2"/>
      <c r="J55" s="2"/>
      <c r="K55" s="2">
        <v>3</v>
      </c>
      <c r="L55" s="2"/>
      <c r="M55" s="2"/>
      <c r="N55" s="2" t="s">
        <v>481</v>
      </c>
      <c r="O55" s="1">
        <v>0</v>
      </c>
      <c r="P55" s="1">
        <v>0</v>
      </c>
    </row>
    <row r="56" s="1" customFormat="1" customHeight="1" spans="1:16">
      <c r="A56" s="2" t="s">
        <v>387</v>
      </c>
      <c r="B56" s="2" t="s">
        <v>387</v>
      </c>
      <c r="C56" s="2">
        <v>211041</v>
      </c>
      <c r="D56" s="2">
        <v>10</v>
      </c>
      <c r="E56" s="2">
        <v>10</v>
      </c>
      <c r="F56" s="2" t="s">
        <v>482</v>
      </c>
      <c r="G56" s="1">
        <v>5</v>
      </c>
      <c r="H56" s="17" t="s">
        <v>34</v>
      </c>
      <c r="I56" s="2"/>
      <c r="J56" s="2"/>
      <c r="K56" s="2">
        <v>3</v>
      </c>
      <c r="L56" s="2"/>
      <c r="M56" s="2"/>
      <c r="N56" s="2"/>
      <c r="O56" s="1">
        <v>0</v>
      </c>
      <c r="P56" s="1">
        <v>0</v>
      </c>
    </row>
    <row r="57" s="1" customFormat="1" customHeight="1" spans="1:16">
      <c r="A57" s="2" t="s">
        <v>387</v>
      </c>
      <c r="B57" s="2" t="s">
        <v>387</v>
      </c>
      <c r="C57" s="2">
        <v>211042</v>
      </c>
      <c r="D57" s="2">
        <v>10</v>
      </c>
      <c r="E57" s="2">
        <v>10</v>
      </c>
      <c r="F57" s="2" t="s">
        <v>483</v>
      </c>
      <c r="G57" s="1">
        <v>7</v>
      </c>
      <c r="H57" s="17" t="s">
        <v>36</v>
      </c>
      <c r="I57" s="2"/>
      <c r="J57" s="2"/>
      <c r="K57" s="2">
        <v>3</v>
      </c>
      <c r="L57" s="2"/>
      <c r="M57" s="2"/>
      <c r="N57" s="2"/>
      <c r="O57" s="1">
        <v>0</v>
      </c>
      <c r="P57" s="1">
        <v>0</v>
      </c>
    </row>
    <row r="87" customHeight="1" spans="15:16">
      <c r="O87"/>
      <c r="P87"/>
    </row>
    <row r="88" customHeight="1" spans="15:16">
      <c r="O88"/>
      <c r="P88"/>
    </row>
  </sheetData>
  <dataValidations count="1">
    <dataValidation type="custom" allowBlank="1" showErrorMessage="1" errorTitle="拒绝重复输入" error="当前输入的内容，与本区域的其他单元格内容重复。" sqref="C3:H5 L3:P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0-40</vt:lpstr>
      <vt:lpstr>50-80</vt:lpstr>
      <vt:lpstr>90-120</vt:lpstr>
      <vt:lpstr>新版</vt:lpstr>
      <vt:lpstr>定制</vt:lpstr>
      <vt:lpstr>传奇装备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2026-09-28T04:59:50Z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49753340A1984F12891DFE701591940B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