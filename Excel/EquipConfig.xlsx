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0-40" sheetId="7" r:id="rId1"/>
    <sheet name="50-80" sheetId="8" r:id="rId2"/>
    <sheet name="90-120" sheetId="9" r:id="rId3"/>
    <sheet name="定制" sheetId="10" r:id="rId4"/>
    <sheet name="传奇装备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<sst xmlns="http://schemas.openxmlformats.org/spreadsheetml/2006/main" count="1319" uniqueCount="436">
  <si>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</si>
  <si>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</si>
  <si>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</si>
  <si>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</si>
  <si>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</si>
  <si>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</si>
  <si>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</si>
  <si>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</si>
  <si>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</si>
  <si>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</si>
  <si>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</si>
  <si>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</si>
  <si>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</si>
  <si>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</si>
  <si>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</si>
  <si>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</si>
  <si>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</si>
  <si>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</si>
  <si>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</si>
  <si>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</si>
  <si>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</si>
  <si>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</si>
  <si>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</si>
  <si>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</si>
  <si>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</si>
  <si>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</si>
  <si>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</si>
  <si>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</si>
  <si>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</si>
  <si>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</si>
  <si>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</si>
  <si>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</si>
  <si>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</si>
  <si>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</si>
  <si>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</si>
  <si>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</si>
  <si>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</si>
  <si>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</si>
  <si>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</si>
  <si>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</si>
  <si>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</si>
  <si>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</si>
  <si>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</si>
  <si>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</si>
  <si>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</si>
  <si>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</si>
  <si>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</si>
  <si>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</si>
  <si>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</si>
  <si>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</si>
  <si>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</si>
  <si>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</si>
  <si>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</si>
  <si>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</si>
  <si>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</si>
  <si>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</si>
  <si>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</si>
  <si>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</si>
  <si>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</si>
  <si>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</si>
  <si>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</si>
  <si>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</si>
  <si>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</si>
  <si>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</si>
  <si>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</si>
  <si>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</si>
  <si>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</si>
  <si>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</si>
  <si>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</si>
  <si>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</si>
  <si>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</si>
  <si>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</si>
  <si>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</si>
  <si>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</si>
  <si>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</si>
  <si>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</si>
  <si>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</si>
  <si>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</si>
  <si>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</si>
  <si>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</si>
  <si>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</si>
  <si>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</si>
  <si>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</si>
  <si>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</si>
  <si>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</si>
  <si>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</si>
  <si>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</si>
  <si>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</si>
  <si>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</si>
  <si>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</si>
  <si>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</si>
  <si>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</si>
  <si>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</si>
  <si>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</si>
  <si>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</si>
  <si>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</si>
  <si>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</si>
  <si>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</si>
  <si>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</si>
  <si>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</si>
  <si>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</si>
  <si>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</si>
  <si>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</si>
  <si>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</si>
  <si>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</si>
  <si>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</si>
  <si>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</si>
  <si>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</si>
  <si>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</si>
  <si>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</si>
  <si>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</si>
  <si>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</si>
  <si>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</si>
  <si>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</si>
  <si>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</si>
  <si>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</si>
  <si>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</si>
  <si>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</si>
  <si>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</si>
  <si>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</si>
  <si>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</si>
  <si>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</si>
  <si>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</si>
  <si>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</si>
  <si>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</si>
  <si>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</si>
  <si>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</si>
  <si>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</si>
  <si>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</si>
  <si>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</si>
  <si>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</si>
  <si>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</si>
  <si>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</si>
  <si>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</si>
  <si>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</si>
  <si>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</si>
  <si>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</si>
  <si>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</si>
  <si>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</si>
  <si>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</si>
  <si>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</si>
  <si>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</si>
  <si>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</si>
  <si>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</si>
  <si>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</si>
  <si>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</si>
  <si>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</si>
  <si>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</si>
  <si>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</si>
  <si>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</si>
  <si>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</si>
  <si>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</si>
  <si>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</si>
  <si>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</si>
  <si>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</si>
  <si>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</si>
  <si>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</si>
  <si>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</si>
  <si>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</si>
  <si>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</si>
  <si>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</si>
  <si>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</si>
  <si>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</si>
  <si>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</si>
  <si>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</si>
  <si>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</si>
  <si>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7000,12</t>
  </si>
  <si>
    <t>金龙战甲</t>
  </si>
  <si>
    <t>金龙战链</t>
  </si>
  <si>
    <t>3500,6</t>
  </si>
  <si>
    <t>金龙战盔</t>
  </si>
  <si>
    <t>70000,12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</si>
  <si>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</si>
  <si>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</si>
  <si>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</si>
  <si>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</si>
  <si>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</si>
  <si>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</si>
  <si>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</si>
  <si>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</si>
  <si>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</si>
  <si>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</si>
  <si>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</si>
  <si>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</si>
  <si>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</si>
  <si>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</si>
  <si>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</si>
  <si>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</si>
  <si>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</si>
  <si>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</si>
  <si>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</si>
  <si>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</si>
  <si>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</si>
  <si>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10000,15</t>
  </si>
  <si>
    <t>木龙战甲</t>
  </si>
  <si>
    <t>木龙战链</t>
  </si>
  <si>
    <t>5000,8</t>
  </si>
  <si>
    <t>木龙战盔</t>
  </si>
  <si>
    <t>100000,15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</si>
  <si>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</si>
  <si>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</si>
  <si>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</si>
  <si>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</si>
  <si>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</si>
  <si>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</si>
  <si>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</si>
  <si>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</si>
  <si>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</si>
  <si>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</si>
  <si>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</si>
  <si>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</si>
  <si>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</si>
  <si>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</si>
  <si>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</si>
  <si>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</si>
  <si>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</si>
  <si>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</si>
  <si>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</si>
  <si>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</si>
  <si>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</si>
  <si>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15000,20</t>
  </si>
  <si>
    <t>土龙战甲</t>
  </si>
  <si>
    <t>土龙战链</t>
  </si>
  <si>
    <t>7500,10</t>
  </si>
  <si>
    <t>土龙战盔</t>
  </si>
  <si>
    <t>150000,20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</si>
  <si>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</si>
  <si>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</si>
  <si>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</si>
  <si>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</si>
  <si>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</si>
  <si>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</si>
  <si>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</si>
  <si>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</si>
  <si>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</si>
  <si>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</si>
  <si>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</si>
  <si>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</si>
  <si>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</si>
  <si>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</si>
  <si>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</si>
  <si>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</si>
  <si>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</si>
  <si>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</si>
  <si>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</si>
  <si>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</si>
  <si>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</si>
  <si>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20000,24</t>
  </si>
  <si>
    <t>冰龙战甲</t>
  </si>
  <si>
    <t>冰龙战链</t>
  </si>
  <si>
    <t>10000,12</t>
  </si>
  <si>
    <t>冰龙战盔</t>
  </si>
  <si>
    <t>200000,24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</si>
  <si>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</si>
  <si>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</si>
  <si>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</si>
  <si>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</si>
  <si>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</si>
  <si>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</si>
  <si>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</si>
  <si>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</si>
  <si>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</si>
  <si>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</si>
  <si>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</si>
  <si>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</si>
  <si>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</si>
  <si>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</si>
  <si>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</si>
  <si>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</si>
  <si>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</si>
  <si>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</si>
  <si>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</si>
  <si>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</si>
  <si>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</si>
  <si>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30000,28</t>
  </si>
  <si>
    <t>炎龙战甲</t>
  </si>
  <si>
    <t>炎龙战链</t>
  </si>
  <si>
    <t>15000,14</t>
  </si>
  <si>
    <t>炎龙战盔</t>
  </si>
  <si>
    <t>300000,28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</si>
  <si>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</si>
  <si>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</si>
  <si>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</si>
  <si>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</si>
  <si>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</si>
  <si>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</si>
  <si>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</si>
  <si>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</si>
  <si>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</si>
  <si>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</si>
  <si>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</si>
  <si>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</si>
  <si>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</si>
  <si>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</si>
  <si>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</si>
  <si>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</si>
  <si>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</si>
  <si>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</si>
  <si>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</si>
  <si>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</si>
  <si>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</si>
  <si>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40000,32</t>
  </si>
  <si>
    <t>光龙战甲</t>
  </si>
  <si>
    <t>光龙战链</t>
  </si>
  <si>
    <t>20000,16</t>
  </si>
  <si>
    <t>光龙战盔</t>
  </si>
  <si>
    <t>400000,32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</si>
  <si>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</si>
  <si>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</si>
  <si>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</si>
  <si>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</si>
  <si>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</si>
  <si>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</si>
  <si>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</si>
  <si>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</si>
  <si>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</si>
  <si>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</si>
  <si>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</si>
  <si>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</si>
  <si>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</si>
  <si>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</si>
  <si>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</si>
  <si>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</si>
  <si>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</si>
  <si>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</si>
  <si>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</si>
  <si>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</si>
  <si>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</si>
  <si>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50000,36</t>
  </si>
  <si>
    <t>暗龙战甲</t>
  </si>
  <si>
    <t>暗龙战链</t>
  </si>
  <si>
    <t>25000,18</t>
  </si>
  <si>
    <t>暗龙战盔</t>
  </si>
  <si>
    <t>暗龙战镯</t>
  </si>
  <si>
    <t>500000,36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</si>
  <si>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</si>
  <si>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</si>
  <si>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</si>
  <si>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</si>
  <si>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</si>
  <si>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</si>
  <si>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</si>
  <si>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</si>
  <si>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</si>
  <si>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</si>
  <si>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</si>
  <si>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</si>
  <si>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</si>
  <si>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</si>
  <si>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</si>
  <si>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</si>
  <si>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</si>
  <si>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</si>
  <si>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</si>
  <si>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</si>
  <si>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</si>
  <si>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</si>
  <si>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</si>
  <si>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</si>
  <si>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</si>
  <si>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</si>
  <si>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</si>
  <si>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</si>
  <si>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</si>
  <si>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</si>
  <si>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</si>
  <si>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</si>
  <si>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</si>
  <si>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</si>
  <si>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</si>
  <si>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</si>
  <si>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</si>
  <si>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</si>
  <si>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</si>
  <si>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15000,8</t>
  </si>
  <si>
    <t>金币加成增加20%</t>
  </si>
  <si>
    <t>财富项链</t>
  </si>
  <si>
    <t>1500,8</t>
  </si>
  <si>
    <t>杀敌金币，杀敌金币，杀敌金币，</t>
  </si>
  <si>
    <t>财富玉带</t>
  </si>
  <si>
    <t>杀戮血剑</t>
  </si>
  <si>
    <t>3000,10</t>
  </si>
  <si>
    <t>经验加成增加20%</t>
  </si>
  <si>
    <t>杀戮面罩</t>
  </si>
  <si>
    <t>30000,10</t>
  </si>
  <si>
    <t>杀戮战靴</t>
  </si>
  <si>
    <t>狂风面具</t>
  </si>
  <si>
    <t>6000,12</t>
  </si>
  <si>
    <t>攻速增加10%，冷却增加10%</t>
  </si>
  <si>
    <t>狂风项链</t>
  </si>
  <si>
    <t>狂风戒指</t>
  </si>
  <si>
    <t>60000,12</t>
  </si>
  <si>
    <t>重击巨剑</t>
  </si>
  <si>
    <t>12000,14</t>
  </si>
  <si>
    <t>此次攻击概率翻倍</t>
  </si>
  <si>
    <t>重击护腕</t>
  </si>
  <si>
    <t>120000,14</t>
  </si>
  <si>
    <t>重击腰带</t>
  </si>
  <si>
    <t>暴击扳指</t>
  </si>
  <si>
    <t>24000,16</t>
  </si>
  <si>
    <t>如果此次攻击暴击了，伤害额外翻倍</t>
  </si>
  <si>
    <t>暴击板甲</t>
  </si>
  <si>
    <t>240000,16</t>
  </si>
  <si>
    <t>暴击铁履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</si>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</sst>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abSelected="1" topLeftCell="B65" workbookViewId="0">
      <selection activeCell="J108" sqref="J108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12" t="s">
        <v>24</v>
      </c>
      <c r="J6" s="12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">
        <v>2</v>
      </c>
      <c r="Q6" s="1">
        <v>10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26</v>
      </c>
      <c r="G7" s="1">
        <v>2</v>
      </c>
      <c r="H7" s="1">
        <v>2</v>
      </c>
      <c r="I7" s="12" t="s">
        <v>27</v>
      </c>
      <c r="J7" s="12" t="s">
        <v>25</v>
      </c>
      <c r="K7" s="1">
        <v>300</v>
      </c>
      <c r="L7" s="1">
        <v>1</v>
      </c>
      <c r="M7" s="1">
        <v>0</v>
      </c>
      <c r="N7" s="1">
        <v>2</v>
      </c>
      <c r="O7" s="1">
        <v>5</v>
      </c>
      <c r="P7" s="1">
        <v>2</v>
      </c>
      <c r="Q7" s="1">
        <v>10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28</v>
      </c>
      <c r="G8" s="1">
        <v>3</v>
      </c>
      <c r="H8" s="1">
        <v>3</v>
      </c>
      <c r="I8" s="12" t="s">
        <v>24</v>
      </c>
      <c r="J8" s="12" t="s">
        <v>29</v>
      </c>
      <c r="K8" s="1">
        <v>100</v>
      </c>
      <c r="L8" s="1">
        <v>1</v>
      </c>
      <c r="M8" s="1">
        <v>0</v>
      </c>
      <c r="N8" s="1">
        <v>3</v>
      </c>
      <c r="O8" s="1">
        <v>5</v>
      </c>
      <c r="P8" s="1">
        <v>1</v>
      </c>
      <c r="Q8" s="1">
        <v>10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30</v>
      </c>
      <c r="G9" s="1">
        <v>4</v>
      </c>
      <c r="H9" s="1">
        <v>4</v>
      </c>
      <c r="I9" s="12" t="s">
        <v>31</v>
      </c>
      <c r="J9" s="12" t="s">
        <v>32</v>
      </c>
      <c r="K9" s="1">
        <v>100</v>
      </c>
      <c r="L9" s="1">
        <v>1</v>
      </c>
      <c r="M9" s="1">
        <v>0</v>
      </c>
      <c r="N9" s="1">
        <v>3</v>
      </c>
      <c r="O9" s="1">
        <v>5</v>
      </c>
      <c r="P9" s="1">
        <v>1</v>
      </c>
      <c r="Q9" s="1">
        <v>10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33</v>
      </c>
      <c r="G10" s="1">
        <v>5</v>
      </c>
      <c r="H10" s="12" t="s">
        <v>34</v>
      </c>
      <c r="I10" s="12" t="s">
        <v>31</v>
      </c>
      <c r="J10" s="12" t="s">
        <v>32</v>
      </c>
      <c r="K10" s="1">
        <v>100</v>
      </c>
      <c r="L10" s="1">
        <v>1</v>
      </c>
      <c r="M10" s="1">
        <v>0</v>
      </c>
      <c r="N10" s="1">
        <v>3</v>
      </c>
      <c r="O10" s="1">
        <v>5</v>
      </c>
      <c r="P10" s="1">
        <v>1</v>
      </c>
      <c r="Q10" s="1">
        <v>10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35</v>
      </c>
      <c r="G11" s="1">
        <v>7</v>
      </c>
      <c r="H11" s="12" t="s">
        <v>36</v>
      </c>
      <c r="I11" s="12" t="s">
        <v>24</v>
      </c>
      <c r="J11" s="12" t="s">
        <v>29</v>
      </c>
      <c r="K11" s="1">
        <v>100</v>
      </c>
      <c r="L11" s="1">
        <v>1</v>
      </c>
      <c r="M11" s="1">
        <v>0</v>
      </c>
      <c r="N11" s="1">
        <v>3</v>
      </c>
      <c r="O11" s="1">
        <v>5</v>
      </c>
      <c r="P11" s="1">
        <v>1</v>
      </c>
      <c r="Q11" s="1">
        <v>10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37</v>
      </c>
      <c r="G12" s="1">
        <v>9</v>
      </c>
      <c r="H12" s="1">
        <v>9</v>
      </c>
      <c r="I12" s="12" t="s">
        <v>27</v>
      </c>
      <c r="J12" s="12" t="s">
        <v>29</v>
      </c>
      <c r="K12" s="1">
        <v>100</v>
      </c>
      <c r="L12" s="1">
        <v>1</v>
      </c>
      <c r="M12" s="1">
        <v>0</v>
      </c>
      <c r="N12" s="1">
        <v>3</v>
      </c>
      <c r="O12" s="1">
        <v>5</v>
      </c>
      <c r="P12" s="1">
        <v>1</v>
      </c>
      <c r="Q12" s="1">
        <v>10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38</v>
      </c>
      <c r="G13" s="1">
        <v>10</v>
      </c>
      <c r="H13" s="1">
        <v>10</v>
      </c>
      <c r="I13" s="12" t="s">
        <v>31</v>
      </c>
      <c r="J13" s="12" t="s">
        <v>32</v>
      </c>
      <c r="K13" s="1">
        <v>100</v>
      </c>
      <c r="L13" s="1">
        <v>1</v>
      </c>
      <c r="M13" s="1">
        <v>0</v>
      </c>
      <c r="N13" s="1">
        <v>3</v>
      </c>
      <c r="O13" s="1">
        <v>5</v>
      </c>
      <c r="P13" s="1">
        <v>1</v>
      </c>
      <c r="Q13" s="1">
        <v>10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39</v>
      </c>
      <c r="G14" s="1">
        <v>1</v>
      </c>
      <c r="H14" s="1">
        <v>1</v>
      </c>
      <c r="I14" s="12" t="s">
        <v>40</v>
      </c>
      <c r="J14" s="12" t="s">
        <v>25</v>
      </c>
      <c r="K14" s="1">
        <v>300</v>
      </c>
      <c r="L14" s="1">
        <v>2</v>
      </c>
      <c r="M14" s="1">
        <v>0</v>
      </c>
      <c r="N14" s="1">
        <v>1</v>
      </c>
      <c r="O14" s="1">
        <v>5</v>
      </c>
      <c r="P14" s="1">
        <v>2</v>
      </c>
      <c r="Q14" s="1">
        <v>10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41</v>
      </c>
      <c r="G15" s="1">
        <v>2</v>
      </c>
      <c r="H15" s="1">
        <v>2</v>
      </c>
      <c r="I15" s="12" t="s">
        <v>27</v>
      </c>
      <c r="J15" s="12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">
        <v>2</v>
      </c>
      <c r="Q15" s="1">
        <v>10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42</v>
      </c>
      <c r="G16" s="1">
        <v>3</v>
      </c>
      <c r="H16" s="1">
        <v>3</v>
      </c>
      <c r="I16" s="12" t="s">
        <v>40</v>
      </c>
      <c r="J16" s="12" t="s">
        <v>29</v>
      </c>
      <c r="K16" s="1">
        <v>100</v>
      </c>
      <c r="L16" s="1">
        <v>2</v>
      </c>
      <c r="M16" s="1">
        <v>0</v>
      </c>
      <c r="N16" s="1">
        <v>3</v>
      </c>
      <c r="O16" s="1">
        <v>5</v>
      </c>
      <c r="P16" s="1">
        <v>1</v>
      </c>
      <c r="Q16" s="1">
        <v>10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43</v>
      </c>
      <c r="G17" s="1">
        <v>4</v>
      </c>
      <c r="H17" s="1">
        <v>4</v>
      </c>
      <c r="I17" s="12" t="s">
        <v>31</v>
      </c>
      <c r="J17" s="12" t="s">
        <v>32</v>
      </c>
      <c r="K17" s="1">
        <v>100</v>
      </c>
      <c r="L17" s="1">
        <v>2</v>
      </c>
      <c r="M17" s="1">
        <v>0</v>
      </c>
      <c r="N17" s="1">
        <v>3</v>
      </c>
      <c r="O17" s="1">
        <v>5</v>
      </c>
      <c r="P17" s="1">
        <v>1</v>
      </c>
      <c r="Q17" s="1">
        <v>10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44</v>
      </c>
      <c r="G18" s="1">
        <v>5</v>
      </c>
      <c r="H18" s="12" t="s">
        <v>34</v>
      </c>
      <c r="I18" s="12" t="s">
        <v>31</v>
      </c>
      <c r="J18" s="12" t="s">
        <v>32</v>
      </c>
      <c r="K18" s="1">
        <v>100</v>
      </c>
      <c r="L18" s="1">
        <v>2</v>
      </c>
      <c r="M18" s="1">
        <v>0</v>
      </c>
      <c r="N18" s="1">
        <v>3</v>
      </c>
      <c r="O18" s="1">
        <v>5</v>
      </c>
      <c r="P18" s="1">
        <v>1</v>
      </c>
      <c r="Q18" s="1">
        <v>10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45</v>
      </c>
      <c r="G19" s="1">
        <v>7</v>
      </c>
      <c r="H19" s="12" t="s">
        <v>36</v>
      </c>
      <c r="I19" s="12" t="s">
        <v>40</v>
      </c>
      <c r="J19" s="12" t="s">
        <v>29</v>
      </c>
      <c r="K19" s="1">
        <v>100</v>
      </c>
      <c r="L19" s="1">
        <v>2</v>
      </c>
      <c r="M19" s="1">
        <v>0</v>
      </c>
      <c r="N19" s="1">
        <v>3</v>
      </c>
      <c r="O19" s="1">
        <v>5</v>
      </c>
      <c r="P19" s="1">
        <v>1</v>
      </c>
      <c r="Q19" s="1">
        <v>10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46</v>
      </c>
      <c r="G20" s="1">
        <v>9</v>
      </c>
      <c r="H20" s="1">
        <v>9</v>
      </c>
      <c r="I20" s="12" t="s">
        <v>27</v>
      </c>
      <c r="J20" s="12" t="s">
        <v>29</v>
      </c>
      <c r="K20" s="1">
        <v>100</v>
      </c>
      <c r="L20" s="1">
        <v>2</v>
      </c>
      <c r="M20" s="1">
        <v>0</v>
      </c>
      <c r="N20" s="1">
        <v>3</v>
      </c>
      <c r="O20" s="1">
        <v>5</v>
      </c>
      <c r="P20" s="1">
        <v>1</v>
      </c>
      <c r="Q20" s="1">
        <v>10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47</v>
      </c>
      <c r="G21" s="1">
        <v>10</v>
      </c>
      <c r="H21" s="1">
        <v>10</v>
      </c>
      <c r="I21" s="12" t="s">
        <v>31</v>
      </c>
      <c r="J21" s="12" t="s">
        <v>32</v>
      </c>
      <c r="K21" s="1">
        <v>100</v>
      </c>
      <c r="L21" s="1">
        <v>2</v>
      </c>
      <c r="M21" s="1">
        <v>0</v>
      </c>
      <c r="N21" s="1">
        <v>3</v>
      </c>
      <c r="O21" s="1">
        <v>5</v>
      </c>
      <c r="P21" s="1">
        <v>1</v>
      </c>
      <c r="Q21" s="1">
        <v>10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48</v>
      </c>
      <c r="G22" s="1">
        <v>1</v>
      </c>
      <c r="H22" s="1">
        <v>1</v>
      </c>
      <c r="I22" s="12" t="s">
        <v>49</v>
      </c>
      <c r="J22" s="12" t="s">
        <v>25</v>
      </c>
      <c r="K22" s="1">
        <v>300</v>
      </c>
      <c r="L22" s="1">
        <v>3</v>
      </c>
      <c r="M22" s="1">
        <v>0</v>
      </c>
      <c r="N22" s="1">
        <v>1</v>
      </c>
      <c r="O22" s="1">
        <v>5</v>
      </c>
      <c r="P22" s="1">
        <v>2</v>
      </c>
      <c r="Q22" s="1">
        <v>10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50</v>
      </c>
      <c r="G23" s="1">
        <v>2</v>
      </c>
      <c r="H23" s="1">
        <v>2</v>
      </c>
      <c r="I23" s="12" t="s">
        <v>27</v>
      </c>
      <c r="J23" s="12" t="s">
        <v>25</v>
      </c>
      <c r="K23" s="1">
        <v>300</v>
      </c>
      <c r="L23" s="1">
        <v>3</v>
      </c>
      <c r="M23" s="1">
        <v>0</v>
      </c>
      <c r="N23" s="1">
        <v>2</v>
      </c>
      <c r="O23" s="1">
        <v>5</v>
      </c>
      <c r="P23" s="1">
        <v>2</v>
      </c>
      <c r="Q23" s="1">
        <v>10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51</v>
      </c>
      <c r="G24" s="1">
        <v>3</v>
      </c>
      <c r="H24" s="1">
        <v>3</v>
      </c>
      <c r="I24" s="12" t="s">
        <v>49</v>
      </c>
      <c r="J24" s="12" t="s">
        <v>29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">
        <v>1</v>
      </c>
      <c r="Q24" s="1">
        <v>10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52</v>
      </c>
      <c r="G25" s="1">
        <v>4</v>
      </c>
      <c r="H25" s="1">
        <v>4</v>
      </c>
      <c r="I25" s="12" t="s">
        <v>31</v>
      </c>
      <c r="J25" s="12" t="s">
        <v>32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">
        <v>1</v>
      </c>
      <c r="Q25" s="1">
        <v>10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53</v>
      </c>
      <c r="G26" s="1">
        <v>5</v>
      </c>
      <c r="H26" s="12" t="s">
        <v>34</v>
      </c>
      <c r="I26" s="12" t="s">
        <v>31</v>
      </c>
      <c r="J26" s="12" t="s">
        <v>32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">
        <v>1</v>
      </c>
      <c r="Q26" s="1">
        <v>10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54</v>
      </c>
      <c r="G27" s="1">
        <v>7</v>
      </c>
      <c r="H27" s="12" t="s">
        <v>36</v>
      </c>
      <c r="I27" s="12" t="s">
        <v>49</v>
      </c>
      <c r="J27" s="12" t="s">
        <v>29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">
        <v>1</v>
      </c>
      <c r="Q27" s="1">
        <v>10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55</v>
      </c>
      <c r="G28" s="1">
        <v>9</v>
      </c>
      <c r="H28" s="1">
        <v>9</v>
      </c>
      <c r="I28" s="12" t="s">
        <v>27</v>
      </c>
      <c r="J28" s="12" t="s">
        <v>29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">
        <v>1</v>
      </c>
      <c r="Q28" s="1">
        <v>10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56</v>
      </c>
      <c r="G29" s="1">
        <v>10</v>
      </c>
      <c r="H29" s="1">
        <v>10</v>
      </c>
      <c r="I29" s="12" t="s">
        <v>31</v>
      </c>
      <c r="J29" s="12" t="s">
        <v>32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">
        <v>1</v>
      </c>
      <c r="Q29" s="1">
        <v>10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57</v>
      </c>
      <c r="G31" s="1">
        <v>1</v>
      </c>
      <c r="H31" s="1">
        <v>1</v>
      </c>
      <c r="I31" s="12" t="s">
        <v>24</v>
      </c>
      <c r="J31" s="12" t="s">
        <v>58</v>
      </c>
      <c r="K31" s="1">
        <v>600</v>
      </c>
      <c r="L31" s="1">
        <v>1</v>
      </c>
      <c r="M31" s="1">
        <v>0</v>
      </c>
      <c r="N31" s="1">
        <f>E31/10*3+1</f>
        <v>4</v>
      </c>
      <c r="O31" s="1">
        <v>5</v>
      </c>
      <c r="P31" s="1">
        <v>4</v>
      </c>
      <c r="Q31" s="1">
        <f t="shared" ref="Q31:Q54" si="0">E31/10*3+10</f>
        <v>13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59</v>
      </c>
      <c r="G32" s="1">
        <v>2</v>
      </c>
      <c r="H32" s="1">
        <v>2</v>
      </c>
      <c r="I32" s="12" t="s">
        <v>27</v>
      </c>
      <c r="J32" s="12" t="s">
        <v>58</v>
      </c>
      <c r="K32" s="1">
        <v>600</v>
      </c>
      <c r="L32" s="1">
        <v>1</v>
      </c>
      <c r="M32" s="1">
        <v>0</v>
      </c>
      <c r="N32" s="1">
        <f>E32/10*3+2</f>
        <v>5</v>
      </c>
      <c r="O32" s="1">
        <v>5</v>
      </c>
      <c r="P32" s="1">
        <v>4</v>
      </c>
      <c r="Q32" s="1">
        <f t="shared" si="0"/>
        <v>13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60</v>
      </c>
      <c r="G33" s="1">
        <v>3</v>
      </c>
      <c r="H33" s="1">
        <v>3</v>
      </c>
      <c r="I33" s="12" t="s">
        <v>24</v>
      </c>
      <c r="J33" s="12" t="s">
        <v>61</v>
      </c>
      <c r="K33" s="1">
        <v>200</v>
      </c>
      <c r="L33" s="1">
        <v>1</v>
      </c>
      <c r="M33" s="1">
        <v>0</v>
      </c>
      <c r="N33" s="1">
        <f t="shared" ref="N33:N38" si="1">E33/10*3+3</f>
        <v>6</v>
      </c>
      <c r="O33" s="1">
        <v>5</v>
      </c>
      <c r="P33" s="1">
        <v>2</v>
      </c>
      <c r="Q33" s="1">
        <f t="shared" si="0"/>
        <v>13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62</v>
      </c>
      <c r="G34" s="1">
        <v>4</v>
      </c>
      <c r="H34" s="1">
        <v>4</v>
      </c>
      <c r="I34" s="12" t="s">
        <v>31</v>
      </c>
      <c r="J34" s="12" t="s">
        <v>63</v>
      </c>
      <c r="K34" s="1">
        <v>200</v>
      </c>
      <c r="L34" s="1">
        <v>1</v>
      </c>
      <c r="M34" s="1">
        <v>0</v>
      </c>
      <c r="N34" s="1">
        <f t="shared" si="1"/>
        <v>6</v>
      </c>
      <c r="O34" s="1">
        <v>5</v>
      </c>
      <c r="P34" s="1">
        <v>2</v>
      </c>
      <c r="Q34" s="1">
        <f t="shared" si="0"/>
        <v>13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64</v>
      </c>
      <c r="G35" s="1">
        <v>5</v>
      </c>
      <c r="H35" s="12" t="s">
        <v>34</v>
      </c>
      <c r="I35" s="12" t="s">
        <v>31</v>
      </c>
      <c r="J35" s="12" t="s">
        <v>63</v>
      </c>
      <c r="K35" s="1">
        <v>200</v>
      </c>
      <c r="L35" s="1">
        <v>1</v>
      </c>
      <c r="M35" s="1">
        <v>0</v>
      </c>
      <c r="N35" s="1">
        <f t="shared" si="1"/>
        <v>6</v>
      </c>
      <c r="O35" s="1">
        <v>5</v>
      </c>
      <c r="P35" s="1">
        <v>2</v>
      </c>
      <c r="Q35" s="1">
        <f t="shared" si="0"/>
        <v>13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65</v>
      </c>
      <c r="G36" s="1">
        <v>7</v>
      </c>
      <c r="H36" s="12" t="s">
        <v>36</v>
      </c>
      <c r="I36" s="12" t="s">
        <v>24</v>
      </c>
      <c r="J36" s="12" t="s">
        <v>61</v>
      </c>
      <c r="K36" s="1">
        <v>200</v>
      </c>
      <c r="L36" s="1">
        <v>1</v>
      </c>
      <c r="M36" s="1">
        <v>0</v>
      </c>
      <c r="N36" s="1">
        <f t="shared" si="1"/>
        <v>6</v>
      </c>
      <c r="O36" s="1">
        <v>5</v>
      </c>
      <c r="P36" s="1">
        <v>2</v>
      </c>
      <c r="Q36" s="1">
        <f t="shared" si="0"/>
        <v>13</v>
      </c>
    </row>
    <row r="37" customHeight="1" spans="3:17">
      <c r="C37" s="1">
        <v>210017</v>
      </c>
      <c r="D37" s="1">
        <v>1</v>
      </c>
      <c r="E37" s="1">
        <v>10</v>
      </c>
      <c r="F37" s="1" t="s">
        <v>66</v>
      </c>
      <c r="G37" s="1">
        <v>9</v>
      </c>
      <c r="H37" s="1">
        <v>9</v>
      </c>
      <c r="I37" s="12" t="s">
        <v>27</v>
      </c>
      <c r="J37" s="12" t="s">
        <v>61</v>
      </c>
      <c r="K37" s="1">
        <v>200</v>
      </c>
      <c r="L37" s="1">
        <v>1</v>
      </c>
      <c r="M37" s="1">
        <v>0</v>
      </c>
      <c r="N37" s="1">
        <f t="shared" si="1"/>
        <v>6</v>
      </c>
      <c r="O37" s="1">
        <v>5</v>
      </c>
      <c r="P37" s="1">
        <v>2</v>
      </c>
      <c r="Q37" s="1">
        <f t="shared" si="0"/>
        <v>13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67</v>
      </c>
      <c r="G38" s="1">
        <v>10</v>
      </c>
      <c r="H38" s="1">
        <v>10</v>
      </c>
      <c r="I38" s="12" t="s">
        <v>31</v>
      </c>
      <c r="J38" s="12" t="s">
        <v>63</v>
      </c>
      <c r="K38" s="1">
        <v>200</v>
      </c>
      <c r="L38" s="1">
        <v>1</v>
      </c>
      <c r="M38" s="1">
        <v>0</v>
      </c>
      <c r="N38" s="1">
        <f t="shared" si="1"/>
        <v>6</v>
      </c>
      <c r="O38" s="1">
        <v>5</v>
      </c>
      <c r="P38" s="1">
        <v>2</v>
      </c>
      <c r="Q38" s="1">
        <f t="shared" si="0"/>
        <v>13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68</v>
      </c>
      <c r="G39" s="1">
        <v>1</v>
      </c>
      <c r="H39" s="1">
        <v>1</v>
      </c>
      <c r="I39" s="12" t="s">
        <v>40</v>
      </c>
      <c r="J39" s="12" t="s">
        <v>58</v>
      </c>
      <c r="K39" s="1">
        <v>600</v>
      </c>
      <c r="L39" s="1">
        <v>2</v>
      </c>
      <c r="M39" s="1">
        <v>0</v>
      </c>
      <c r="N39" s="1">
        <f>E39/10*3+1</f>
        <v>4</v>
      </c>
      <c r="O39" s="1">
        <v>5</v>
      </c>
      <c r="P39" s="1">
        <v>4</v>
      </c>
      <c r="Q39" s="1">
        <f t="shared" si="0"/>
        <v>13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69</v>
      </c>
      <c r="G40" s="1">
        <v>2</v>
      </c>
      <c r="H40" s="1">
        <v>2</v>
      </c>
      <c r="I40" s="12" t="s">
        <v>27</v>
      </c>
      <c r="J40" s="12" t="s">
        <v>58</v>
      </c>
      <c r="K40" s="1">
        <v>600</v>
      </c>
      <c r="L40" s="1">
        <v>2</v>
      </c>
      <c r="M40" s="1">
        <v>0</v>
      </c>
      <c r="N40" s="1">
        <f>E40/10*3+2</f>
        <v>5</v>
      </c>
      <c r="O40" s="1">
        <v>5</v>
      </c>
      <c r="P40" s="1">
        <v>4</v>
      </c>
      <c r="Q40" s="1">
        <f t="shared" si="0"/>
        <v>13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70</v>
      </c>
      <c r="G41" s="1">
        <v>3</v>
      </c>
      <c r="H41" s="1">
        <v>3</v>
      </c>
      <c r="I41" s="12" t="s">
        <v>40</v>
      </c>
      <c r="J41" s="12" t="s">
        <v>61</v>
      </c>
      <c r="K41" s="1">
        <v>200</v>
      </c>
      <c r="L41" s="1">
        <v>2</v>
      </c>
      <c r="M41" s="1">
        <v>0</v>
      </c>
      <c r="N41" s="1">
        <f t="shared" ref="N41:N46" si="2">E41/10*3+3</f>
        <v>6</v>
      </c>
      <c r="O41" s="1">
        <v>5</v>
      </c>
      <c r="P41" s="1">
        <v>2</v>
      </c>
      <c r="Q41" s="1">
        <f t="shared" si="0"/>
        <v>13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71</v>
      </c>
      <c r="G42" s="1">
        <v>4</v>
      </c>
      <c r="H42" s="1">
        <v>4</v>
      </c>
      <c r="I42" s="12" t="s">
        <v>31</v>
      </c>
      <c r="J42" s="12" t="s">
        <v>63</v>
      </c>
      <c r="K42" s="1">
        <v>200</v>
      </c>
      <c r="L42" s="1">
        <v>2</v>
      </c>
      <c r="M42" s="1">
        <v>0</v>
      </c>
      <c r="N42" s="1">
        <f t="shared" si="2"/>
        <v>6</v>
      </c>
      <c r="O42" s="1">
        <v>5</v>
      </c>
      <c r="P42" s="1">
        <v>2</v>
      </c>
      <c r="Q42" s="1">
        <f t="shared" si="0"/>
        <v>13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72</v>
      </c>
      <c r="G43" s="1">
        <v>5</v>
      </c>
      <c r="H43" s="12" t="s">
        <v>34</v>
      </c>
      <c r="I43" s="12" t="s">
        <v>31</v>
      </c>
      <c r="J43" s="12" t="s">
        <v>63</v>
      </c>
      <c r="K43" s="1">
        <v>200</v>
      </c>
      <c r="L43" s="1">
        <v>2</v>
      </c>
      <c r="M43" s="1">
        <v>0</v>
      </c>
      <c r="N43" s="1">
        <f t="shared" si="2"/>
        <v>6</v>
      </c>
      <c r="O43" s="1">
        <v>5</v>
      </c>
      <c r="P43" s="1">
        <v>2</v>
      </c>
      <c r="Q43" s="1">
        <f t="shared" si="0"/>
        <v>13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73</v>
      </c>
      <c r="G44" s="1">
        <v>7</v>
      </c>
      <c r="H44" s="12" t="s">
        <v>36</v>
      </c>
      <c r="I44" s="12" t="s">
        <v>40</v>
      </c>
      <c r="J44" s="12" t="s">
        <v>61</v>
      </c>
      <c r="K44" s="1">
        <v>200</v>
      </c>
      <c r="L44" s="1">
        <v>2</v>
      </c>
      <c r="M44" s="1">
        <v>0</v>
      </c>
      <c r="N44" s="1">
        <f t="shared" si="2"/>
        <v>6</v>
      </c>
      <c r="O44" s="1">
        <v>5</v>
      </c>
      <c r="P44" s="1">
        <v>2</v>
      </c>
      <c r="Q44" s="1">
        <f t="shared" si="0"/>
        <v>13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74</v>
      </c>
      <c r="G45" s="1">
        <v>9</v>
      </c>
      <c r="H45" s="1">
        <v>9</v>
      </c>
      <c r="I45" s="12" t="s">
        <v>27</v>
      </c>
      <c r="J45" s="12" t="s">
        <v>61</v>
      </c>
      <c r="K45" s="1">
        <v>200</v>
      </c>
      <c r="L45" s="1">
        <v>2</v>
      </c>
      <c r="M45" s="1">
        <v>0</v>
      </c>
      <c r="N45" s="1">
        <f t="shared" si="2"/>
        <v>6</v>
      </c>
      <c r="O45" s="1">
        <v>5</v>
      </c>
      <c r="P45" s="1">
        <v>2</v>
      </c>
      <c r="Q45" s="1">
        <f t="shared" si="0"/>
        <v>13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75</v>
      </c>
      <c r="G46" s="1">
        <v>10</v>
      </c>
      <c r="H46" s="1">
        <v>10</v>
      </c>
      <c r="I46" s="12" t="s">
        <v>31</v>
      </c>
      <c r="J46" s="12" t="s">
        <v>63</v>
      </c>
      <c r="K46" s="1">
        <v>200</v>
      </c>
      <c r="L46" s="1">
        <v>2</v>
      </c>
      <c r="M46" s="1">
        <v>0</v>
      </c>
      <c r="N46" s="1">
        <f t="shared" si="2"/>
        <v>6</v>
      </c>
      <c r="O46" s="1">
        <v>5</v>
      </c>
      <c r="P46" s="1">
        <v>2</v>
      </c>
      <c r="Q46" s="1">
        <f t="shared" si="0"/>
        <v>13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76</v>
      </c>
      <c r="G47" s="1">
        <v>1</v>
      </c>
      <c r="H47" s="1">
        <v>1</v>
      </c>
      <c r="I47" s="12" t="s">
        <v>49</v>
      </c>
      <c r="J47" s="12" t="s">
        <v>58</v>
      </c>
      <c r="K47" s="1">
        <v>600</v>
      </c>
      <c r="L47" s="1">
        <v>3</v>
      </c>
      <c r="M47" s="1">
        <v>0</v>
      </c>
      <c r="N47" s="1">
        <f>E47/10*3+1</f>
        <v>4</v>
      </c>
      <c r="O47" s="1">
        <v>5</v>
      </c>
      <c r="P47" s="1">
        <v>4</v>
      </c>
      <c r="Q47" s="1">
        <f t="shared" si="0"/>
        <v>13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77</v>
      </c>
      <c r="G48" s="1">
        <v>2</v>
      </c>
      <c r="H48" s="1">
        <v>2</v>
      </c>
      <c r="I48" s="12" t="s">
        <v>27</v>
      </c>
      <c r="J48" s="12" t="s">
        <v>58</v>
      </c>
      <c r="K48" s="1">
        <v>600</v>
      </c>
      <c r="L48" s="1">
        <v>3</v>
      </c>
      <c r="M48" s="1">
        <v>0</v>
      </c>
      <c r="N48" s="1">
        <f>E48/10*3+2</f>
        <v>5</v>
      </c>
      <c r="O48" s="1">
        <v>5</v>
      </c>
      <c r="P48" s="1">
        <v>4</v>
      </c>
      <c r="Q48" s="1">
        <f t="shared" si="0"/>
        <v>13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78</v>
      </c>
      <c r="G49" s="1">
        <v>3</v>
      </c>
      <c r="H49" s="1">
        <v>3</v>
      </c>
      <c r="I49" s="12" t="s">
        <v>49</v>
      </c>
      <c r="J49" s="12" t="s">
        <v>61</v>
      </c>
      <c r="K49" s="1">
        <v>200</v>
      </c>
      <c r="L49" s="1">
        <v>3</v>
      </c>
      <c r="M49" s="1">
        <v>0</v>
      </c>
      <c r="N49" s="1">
        <f t="shared" ref="N49:N54" si="3">E49/10*3+3</f>
        <v>6</v>
      </c>
      <c r="O49" s="1">
        <v>5</v>
      </c>
      <c r="P49" s="1">
        <v>2</v>
      </c>
      <c r="Q49" s="1">
        <f t="shared" si="0"/>
        <v>13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79</v>
      </c>
      <c r="G50" s="1">
        <v>4</v>
      </c>
      <c r="H50" s="1">
        <v>4</v>
      </c>
      <c r="I50" s="12" t="s">
        <v>31</v>
      </c>
      <c r="J50" s="12" t="s">
        <v>63</v>
      </c>
      <c r="K50" s="1">
        <v>200</v>
      </c>
      <c r="L50" s="1">
        <v>3</v>
      </c>
      <c r="M50" s="1">
        <v>0</v>
      </c>
      <c r="N50" s="1">
        <f t="shared" si="3"/>
        <v>6</v>
      </c>
      <c r="O50" s="1">
        <v>5</v>
      </c>
      <c r="P50" s="1">
        <v>2</v>
      </c>
      <c r="Q50" s="1">
        <f t="shared" si="0"/>
        <v>13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80</v>
      </c>
      <c r="G51" s="1">
        <v>5</v>
      </c>
      <c r="H51" s="12" t="s">
        <v>34</v>
      </c>
      <c r="I51" s="12" t="s">
        <v>31</v>
      </c>
      <c r="J51" s="12" t="s">
        <v>63</v>
      </c>
      <c r="K51" s="1">
        <v>200</v>
      </c>
      <c r="L51" s="1">
        <v>3</v>
      </c>
      <c r="M51" s="1">
        <v>0</v>
      </c>
      <c r="N51" s="1">
        <f t="shared" si="3"/>
        <v>6</v>
      </c>
      <c r="O51" s="1">
        <v>5</v>
      </c>
      <c r="P51" s="1">
        <v>2</v>
      </c>
      <c r="Q51" s="1">
        <f t="shared" si="0"/>
        <v>13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81</v>
      </c>
      <c r="G52" s="1">
        <v>7</v>
      </c>
      <c r="H52" s="12" t="s">
        <v>36</v>
      </c>
      <c r="I52" s="12" t="s">
        <v>49</v>
      </c>
      <c r="J52" s="12" t="s">
        <v>61</v>
      </c>
      <c r="K52" s="1">
        <v>200</v>
      </c>
      <c r="L52" s="1">
        <v>3</v>
      </c>
      <c r="M52" s="1">
        <v>0</v>
      </c>
      <c r="N52" s="1">
        <f t="shared" si="3"/>
        <v>6</v>
      </c>
      <c r="O52" s="1">
        <v>5</v>
      </c>
      <c r="P52" s="1">
        <v>2</v>
      </c>
      <c r="Q52" s="1">
        <f t="shared" si="0"/>
        <v>13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82</v>
      </c>
      <c r="G53" s="1">
        <v>9</v>
      </c>
      <c r="H53" s="1">
        <v>9</v>
      </c>
      <c r="I53" s="12" t="s">
        <v>27</v>
      </c>
      <c r="J53" s="12" t="s">
        <v>61</v>
      </c>
      <c r="K53" s="1">
        <v>200</v>
      </c>
      <c r="L53" s="1">
        <v>3</v>
      </c>
      <c r="M53" s="1">
        <v>0</v>
      </c>
      <c r="N53" s="1">
        <f t="shared" si="3"/>
        <v>6</v>
      </c>
      <c r="O53" s="1">
        <v>5</v>
      </c>
      <c r="P53" s="1">
        <v>2</v>
      </c>
      <c r="Q53" s="1">
        <f t="shared" si="0"/>
        <v>13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83</v>
      </c>
      <c r="G54" s="1">
        <v>10</v>
      </c>
      <c r="H54" s="1">
        <v>10</v>
      </c>
      <c r="I54" s="12" t="s">
        <v>31</v>
      </c>
      <c r="J54" s="12" t="s">
        <v>63</v>
      </c>
      <c r="K54" s="1">
        <v>200</v>
      </c>
      <c r="L54" s="1">
        <v>3</v>
      </c>
      <c r="M54" s="1">
        <v>0</v>
      </c>
      <c r="N54" s="1">
        <f t="shared" si="3"/>
        <v>6</v>
      </c>
      <c r="O54" s="1">
        <v>5</v>
      </c>
      <c r="P54" s="1">
        <v>2</v>
      </c>
      <c r="Q54" s="1">
        <f t="shared" si="0"/>
        <v>13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84</v>
      </c>
      <c r="G56" s="1">
        <v>1</v>
      </c>
      <c r="H56" s="1">
        <v>1</v>
      </c>
      <c r="I56" s="12" t="s">
        <v>24</v>
      </c>
      <c r="J56" s="12" t="s">
        <v>85</v>
      </c>
      <c r="K56" s="1">
        <v>900</v>
      </c>
      <c r="L56" s="1">
        <v>1</v>
      </c>
      <c r="M56" s="1">
        <v>0</v>
      </c>
      <c r="N56" s="1">
        <f>E56/10*3+1</f>
        <v>7</v>
      </c>
      <c r="O56" s="1">
        <v>5</v>
      </c>
      <c r="P56" s="1">
        <v>6</v>
      </c>
      <c r="Q56" s="1">
        <f t="shared" ref="Q56:Q79" si="4">E56/10*3+10</f>
        <v>16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86</v>
      </c>
      <c r="G57" s="1">
        <v>2</v>
      </c>
      <c r="H57" s="1">
        <v>2</v>
      </c>
      <c r="I57" s="12" t="s">
        <v>27</v>
      </c>
      <c r="J57" s="12" t="s">
        <v>85</v>
      </c>
      <c r="K57" s="1">
        <v>900</v>
      </c>
      <c r="L57" s="1">
        <v>1</v>
      </c>
      <c r="M57" s="1">
        <v>0</v>
      </c>
      <c r="N57" s="1">
        <f>E57/10*3+2</f>
        <v>8</v>
      </c>
      <c r="O57" s="1">
        <v>5</v>
      </c>
      <c r="P57" s="1">
        <v>6</v>
      </c>
      <c r="Q57" s="1">
        <f t="shared" si="4"/>
        <v>16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87</v>
      </c>
      <c r="G58" s="1">
        <v>3</v>
      </c>
      <c r="H58" s="1">
        <v>3</v>
      </c>
      <c r="I58" s="12" t="s">
        <v>24</v>
      </c>
      <c r="J58" s="12" t="s">
        <v>88</v>
      </c>
      <c r="K58" s="1">
        <v>300</v>
      </c>
      <c r="L58" s="1">
        <v>1</v>
      </c>
      <c r="M58" s="1">
        <v>0</v>
      </c>
      <c r="N58" s="1">
        <f t="shared" ref="N58:N63" si="5">E58/10*3+3</f>
        <v>9</v>
      </c>
      <c r="O58" s="1">
        <v>5</v>
      </c>
      <c r="P58" s="1">
        <v>3</v>
      </c>
      <c r="Q58" s="1">
        <f t="shared" si="4"/>
        <v>16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89</v>
      </c>
      <c r="G59" s="1">
        <v>4</v>
      </c>
      <c r="H59" s="1">
        <v>4</v>
      </c>
      <c r="I59" s="12" t="s">
        <v>31</v>
      </c>
      <c r="J59" s="12" t="s">
        <v>90</v>
      </c>
      <c r="K59" s="1">
        <v>300</v>
      </c>
      <c r="L59" s="1">
        <v>1</v>
      </c>
      <c r="M59" s="1">
        <v>0</v>
      </c>
      <c r="N59" s="1">
        <f t="shared" si="5"/>
        <v>9</v>
      </c>
      <c r="O59" s="1">
        <v>5</v>
      </c>
      <c r="P59" s="1">
        <v>3</v>
      </c>
      <c r="Q59" s="1">
        <f t="shared" si="4"/>
        <v>16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91</v>
      </c>
      <c r="G60" s="1">
        <v>5</v>
      </c>
      <c r="H60" s="12" t="s">
        <v>34</v>
      </c>
      <c r="I60" s="12" t="s">
        <v>31</v>
      </c>
      <c r="J60" s="12" t="s">
        <v>90</v>
      </c>
      <c r="K60" s="1">
        <v>300</v>
      </c>
      <c r="L60" s="1">
        <v>1</v>
      </c>
      <c r="M60" s="1">
        <v>0</v>
      </c>
      <c r="N60" s="1">
        <f t="shared" si="5"/>
        <v>9</v>
      </c>
      <c r="O60" s="1">
        <v>5</v>
      </c>
      <c r="P60" s="1">
        <v>3</v>
      </c>
      <c r="Q60" s="1">
        <f t="shared" si="4"/>
        <v>16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92</v>
      </c>
      <c r="G61" s="1">
        <v>7</v>
      </c>
      <c r="H61" s="12" t="s">
        <v>36</v>
      </c>
      <c r="I61" s="12" t="s">
        <v>24</v>
      </c>
      <c r="J61" s="12" t="s">
        <v>88</v>
      </c>
      <c r="K61" s="1">
        <v>300</v>
      </c>
      <c r="L61" s="1">
        <v>1</v>
      </c>
      <c r="M61" s="1">
        <v>0</v>
      </c>
      <c r="N61" s="1">
        <f t="shared" si="5"/>
        <v>9</v>
      </c>
      <c r="O61" s="1">
        <v>5</v>
      </c>
      <c r="P61" s="1">
        <v>3</v>
      </c>
      <c r="Q61" s="1">
        <f t="shared" si="4"/>
        <v>16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93</v>
      </c>
      <c r="G62" s="1">
        <v>9</v>
      </c>
      <c r="H62" s="1">
        <v>9</v>
      </c>
      <c r="I62" s="12" t="s">
        <v>27</v>
      </c>
      <c r="J62" s="12" t="s">
        <v>88</v>
      </c>
      <c r="K62" s="1">
        <v>300</v>
      </c>
      <c r="L62" s="1">
        <v>1</v>
      </c>
      <c r="M62" s="1">
        <v>0</v>
      </c>
      <c r="N62" s="1">
        <f t="shared" si="5"/>
        <v>9</v>
      </c>
      <c r="O62" s="1">
        <v>5</v>
      </c>
      <c r="P62" s="1">
        <v>3</v>
      </c>
      <c r="Q62" s="1">
        <f t="shared" si="4"/>
        <v>16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94</v>
      </c>
      <c r="G63" s="1">
        <v>10</v>
      </c>
      <c r="H63" s="1">
        <v>10</v>
      </c>
      <c r="I63" s="12" t="s">
        <v>31</v>
      </c>
      <c r="J63" s="12" t="s">
        <v>90</v>
      </c>
      <c r="K63" s="1">
        <v>300</v>
      </c>
      <c r="L63" s="1">
        <v>1</v>
      </c>
      <c r="M63" s="1">
        <v>0</v>
      </c>
      <c r="N63" s="1">
        <f t="shared" si="5"/>
        <v>9</v>
      </c>
      <c r="O63" s="1">
        <v>5</v>
      </c>
      <c r="P63" s="1">
        <v>3</v>
      </c>
      <c r="Q63" s="1">
        <f t="shared" si="4"/>
        <v>16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95</v>
      </c>
      <c r="G64" s="1">
        <v>1</v>
      </c>
      <c r="H64" s="1">
        <v>1</v>
      </c>
      <c r="I64" s="12" t="s">
        <v>40</v>
      </c>
      <c r="J64" s="12" t="s">
        <v>85</v>
      </c>
      <c r="K64" s="1">
        <v>900</v>
      </c>
      <c r="L64" s="1">
        <v>2</v>
      </c>
      <c r="M64" s="1">
        <v>0</v>
      </c>
      <c r="N64" s="1">
        <f>E64/10*3+1</f>
        <v>7</v>
      </c>
      <c r="O64" s="1">
        <v>5</v>
      </c>
      <c r="P64" s="1">
        <v>6</v>
      </c>
      <c r="Q64" s="1">
        <f t="shared" si="4"/>
        <v>16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96</v>
      </c>
      <c r="G65" s="1">
        <v>2</v>
      </c>
      <c r="H65" s="1">
        <v>2</v>
      </c>
      <c r="I65" s="12" t="s">
        <v>27</v>
      </c>
      <c r="J65" s="12" t="s">
        <v>85</v>
      </c>
      <c r="K65" s="1">
        <v>900</v>
      </c>
      <c r="L65" s="1">
        <v>2</v>
      </c>
      <c r="M65" s="1">
        <v>0</v>
      </c>
      <c r="N65" s="1">
        <f>E65/10*3+2</f>
        <v>8</v>
      </c>
      <c r="O65" s="1">
        <v>5</v>
      </c>
      <c r="P65" s="1">
        <v>6</v>
      </c>
      <c r="Q65" s="1">
        <f t="shared" si="4"/>
        <v>16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97</v>
      </c>
      <c r="G66" s="1">
        <v>3</v>
      </c>
      <c r="H66" s="1">
        <v>3</v>
      </c>
      <c r="I66" s="12" t="s">
        <v>40</v>
      </c>
      <c r="J66" s="12" t="s">
        <v>88</v>
      </c>
      <c r="K66" s="1">
        <v>300</v>
      </c>
      <c r="L66" s="1">
        <v>2</v>
      </c>
      <c r="M66" s="1">
        <v>0</v>
      </c>
      <c r="N66" s="1">
        <f t="shared" ref="N66:N71" si="6">E66/10*3+3</f>
        <v>9</v>
      </c>
      <c r="O66" s="1">
        <v>5</v>
      </c>
      <c r="P66" s="1">
        <v>3</v>
      </c>
      <c r="Q66" s="1">
        <f t="shared" si="4"/>
        <v>16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98</v>
      </c>
      <c r="G67" s="1">
        <v>4</v>
      </c>
      <c r="H67" s="1">
        <v>4</v>
      </c>
      <c r="I67" s="12" t="s">
        <v>31</v>
      </c>
      <c r="J67" s="12" t="s">
        <v>90</v>
      </c>
      <c r="K67" s="1">
        <v>300</v>
      </c>
      <c r="L67" s="1">
        <v>2</v>
      </c>
      <c r="M67" s="1">
        <v>0</v>
      </c>
      <c r="N67" s="1">
        <f t="shared" si="6"/>
        <v>9</v>
      </c>
      <c r="O67" s="1">
        <v>5</v>
      </c>
      <c r="P67" s="1">
        <v>3</v>
      </c>
      <c r="Q67" s="1">
        <f t="shared" si="4"/>
        <v>16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99</v>
      </c>
      <c r="G68" s="1">
        <v>5</v>
      </c>
      <c r="H68" s="12" t="s">
        <v>34</v>
      </c>
      <c r="I68" s="12" t="s">
        <v>31</v>
      </c>
      <c r="J68" s="12" t="s">
        <v>90</v>
      </c>
      <c r="K68" s="1">
        <v>300</v>
      </c>
      <c r="L68" s="1">
        <v>2</v>
      </c>
      <c r="M68" s="1">
        <v>0</v>
      </c>
      <c r="N68" s="1">
        <f t="shared" si="6"/>
        <v>9</v>
      </c>
      <c r="O68" s="1">
        <v>5</v>
      </c>
      <c r="P68" s="1">
        <v>3</v>
      </c>
      <c r="Q68" s="1">
        <f t="shared" si="4"/>
        <v>16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100</v>
      </c>
      <c r="G69" s="1">
        <v>7</v>
      </c>
      <c r="H69" s="12" t="s">
        <v>36</v>
      </c>
      <c r="I69" s="12" t="s">
        <v>40</v>
      </c>
      <c r="J69" s="12" t="s">
        <v>88</v>
      </c>
      <c r="K69" s="1">
        <v>300</v>
      </c>
      <c r="L69" s="1">
        <v>2</v>
      </c>
      <c r="M69" s="1">
        <v>0</v>
      </c>
      <c r="N69" s="1">
        <f t="shared" si="6"/>
        <v>9</v>
      </c>
      <c r="O69" s="1">
        <v>5</v>
      </c>
      <c r="P69" s="1">
        <v>3</v>
      </c>
      <c r="Q69" s="1">
        <f t="shared" si="4"/>
        <v>16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101</v>
      </c>
      <c r="G70" s="1">
        <v>9</v>
      </c>
      <c r="H70" s="1">
        <v>9</v>
      </c>
      <c r="I70" s="12" t="s">
        <v>27</v>
      </c>
      <c r="J70" s="12" t="s">
        <v>88</v>
      </c>
      <c r="K70" s="1">
        <v>300</v>
      </c>
      <c r="L70" s="1">
        <v>2</v>
      </c>
      <c r="M70" s="1">
        <v>0</v>
      </c>
      <c r="N70" s="1">
        <f t="shared" si="6"/>
        <v>9</v>
      </c>
      <c r="O70" s="1">
        <v>5</v>
      </c>
      <c r="P70" s="1">
        <v>3</v>
      </c>
      <c r="Q70" s="1">
        <f t="shared" si="4"/>
        <v>16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102</v>
      </c>
      <c r="G71" s="1">
        <v>10</v>
      </c>
      <c r="H71" s="1">
        <v>10</v>
      </c>
      <c r="I71" s="12" t="s">
        <v>31</v>
      </c>
      <c r="J71" s="12" t="s">
        <v>90</v>
      </c>
      <c r="K71" s="1">
        <v>300</v>
      </c>
      <c r="L71" s="1">
        <v>2</v>
      </c>
      <c r="M71" s="1">
        <v>0</v>
      </c>
      <c r="N71" s="1">
        <f t="shared" si="6"/>
        <v>9</v>
      </c>
      <c r="O71" s="1">
        <v>5</v>
      </c>
      <c r="P71" s="1">
        <v>3</v>
      </c>
      <c r="Q71" s="1">
        <f t="shared" si="4"/>
        <v>16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103</v>
      </c>
      <c r="G72" s="1">
        <v>1</v>
      </c>
      <c r="H72" s="1">
        <v>1</v>
      </c>
      <c r="I72" s="12" t="s">
        <v>49</v>
      </c>
      <c r="J72" s="12" t="s">
        <v>85</v>
      </c>
      <c r="K72" s="1">
        <v>900</v>
      </c>
      <c r="L72" s="1">
        <v>3</v>
      </c>
      <c r="M72" s="1">
        <v>0</v>
      </c>
      <c r="N72" s="1">
        <f>E72/10*3+1</f>
        <v>7</v>
      </c>
      <c r="O72" s="1">
        <v>5</v>
      </c>
      <c r="P72" s="1">
        <v>6</v>
      </c>
      <c r="Q72" s="1">
        <f t="shared" si="4"/>
        <v>16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104</v>
      </c>
      <c r="G73" s="1">
        <v>2</v>
      </c>
      <c r="H73" s="1">
        <v>2</v>
      </c>
      <c r="I73" s="12" t="s">
        <v>27</v>
      </c>
      <c r="J73" s="12" t="s">
        <v>85</v>
      </c>
      <c r="K73" s="1">
        <v>900</v>
      </c>
      <c r="L73" s="1">
        <v>3</v>
      </c>
      <c r="M73" s="1">
        <v>0</v>
      </c>
      <c r="N73" s="1">
        <f>E73/10*3+2</f>
        <v>8</v>
      </c>
      <c r="O73" s="1">
        <v>5</v>
      </c>
      <c r="P73" s="1">
        <v>6</v>
      </c>
      <c r="Q73" s="1">
        <f t="shared" si="4"/>
        <v>16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105</v>
      </c>
      <c r="G74" s="1">
        <v>3</v>
      </c>
      <c r="H74" s="1">
        <v>3</v>
      </c>
      <c r="I74" s="12" t="s">
        <v>49</v>
      </c>
      <c r="J74" s="12" t="s">
        <v>88</v>
      </c>
      <c r="K74" s="1">
        <v>300</v>
      </c>
      <c r="L74" s="1">
        <v>3</v>
      </c>
      <c r="M74" s="1">
        <v>0</v>
      </c>
      <c r="N74" s="1">
        <f t="shared" ref="N74:N79" si="7">E74/10*3+3</f>
        <v>9</v>
      </c>
      <c r="O74" s="1">
        <v>5</v>
      </c>
      <c r="P74" s="1">
        <v>3</v>
      </c>
      <c r="Q74" s="1">
        <f t="shared" si="4"/>
        <v>16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106</v>
      </c>
      <c r="G75" s="1">
        <v>4</v>
      </c>
      <c r="H75" s="1">
        <v>4</v>
      </c>
      <c r="I75" s="12" t="s">
        <v>31</v>
      </c>
      <c r="J75" s="12" t="s">
        <v>90</v>
      </c>
      <c r="K75" s="1">
        <v>300</v>
      </c>
      <c r="L75" s="1">
        <v>3</v>
      </c>
      <c r="M75" s="1">
        <v>0</v>
      </c>
      <c r="N75" s="1">
        <f t="shared" si="7"/>
        <v>9</v>
      </c>
      <c r="O75" s="1">
        <v>5</v>
      </c>
      <c r="P75" s="1">
        <v>3</v>
      </c>
      <c r="Q75" s="1">
        <f t="shared" si="4"/>
        <v>16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107</v>
      </c>
      <c r="G76" s="1">
        <v>5</v>
      </c>
      <c r="H76" s="12" t="s">
        <v>34</v>
      </c>
      <c r="I76" s="12" t="s">
        <v>31</v>
      </c>
      <c r="J76" s="12" t="s">
        <v>90</v>
      </c>
      <c r="K76" s="1">
        <v>300</v>
      </c>
      <c r="L76" s="1">
        <v>3</v>
      </c>
      <c r="M76" s="1">
        <v>0</v>
      </c>
      <c r="N76" s="1">
        <f t="shared" si="7"/>
        <v>9</v>
      </c>
      <c r="O76" s="1">
        <v>5</v>
      </c>
      <c r="P76" s="1">
        <v>3</v>
      </c>
      <c r="Q76" s="1">
        <f t="shared" si="4"/>
        <v>16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108</v>
      </c>
      <c r="G77" s="1">
        <v>7</v>
      </c>
      <c r="H77" s="12" t="s">
        <v>36</v>
      </c>
      <c r="I77" s="12" t="s">
        <v>49</v>
      </c>
      <c r="J77" s="12" t="s">
        <v>88</v>
      </c>
      <c r="K77" s="1">
        <v>300</v>
      </c>
      <c r="L77" s="1">
        <v>3</v>
      </c>
      <c r="M77" s="1">
        <v>0</v>
      </c>
      <c r="N77" s="1">
        <f t="shared" si="7"/>
        <v>9</v>
      </c>
      <c r="O77" s="1">
        <v>5</v>
      </c>
      <c r="P77" s="1">
        <v>3</v>
      </c>
      <c r="Q77" s="1">
        <f t="shared" si="4"/>
        <v>16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109</v>
      </c>
      <c r="G78" s="1">
        <v>9</v>
      </c>
      <c r="H78" s="1">
        <v>9</v>
      </c>
      <c r="I78" s="12" t="s">
        <v>27</v>
      </c>
      <c r="J78" s="12" t="s">
        <v>88</v>
      </c>
      <c r="K78" s="1">
        <v>300</v>
      </c>
      <c r="L78" s="1">
        <v>3</v>
      </c>
      <c r="M78" s="1">
        <v>0</v>
      </c>
      <c r="N78" s="1">
        <f t="shared" si="7"/>
        <v>9</v>
      </c>
      <c r="O78" s="1">
        <v>5</v>
      </c>
      <c r="P78" s="1">
        <v>3</v>
      </c>
      <c r="Q78" s="1">
        <f t="shared" si="4"/>
        <v>16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110</v>
      </c>
      <c r="G79" s="1">
        <v>10</v>
      </c>
      <c r="H79" s="1">
        <v>10</v>
      </c>
      <c r="I79" s="12" t="s">
        <v>31</v>
      </c>
      <c r="J79" s="12" t="s">
        <v>90</v>
      </c>
      <c r="K79" s="1">
        <v>300</v>
      </c>
      <c r="L79" s="1">
        <v>3</v>
      </c>
      <c r="M79" s="1">
        <v>0</v>
      </c>
      <c r="N79" s="1">
        <f t="shared" si="7"/>
        <v>9</v>
      </c>
      <c r="O79" s="1">
        <v>5</v>
      </c>
      <c r="P79" s="1">
        <v>3</v>
      </c>
      <c r="Q79" s="1">
        <f t="shared" si="4"/>
        <v>16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111</v>
      </c>
      <c r="G81" s="1">
        <v>1</v>
      </c>
      <c r="H81" s="1">
        <v>1</v>
      </c>
      <c r="I81" s="12" t="s">
        <v>24</v>
      </c>
      <c r="J81" s="12" t="s">
        <v>112</v>
      </c>
      <c r="K81" s="1">
        <v>100</v>
      </c>
      <c r="L81" s="1">
        <v>1</v>
      </c>
      <c r="M81" s="1">
        <v>0</v>
      </c>
      <c r="N81" s="1">
        <f>E81/10*3+1</f>
        <v>10</v>
      </c>
      <c r="O81" s="1">
        <v>5</v>
      </c>
      <c r="P81" s="1">
        <v>8</v>
      </c>
      <c r="Q81" s="1">
        <f t="shared" ref="Q81:Q104" si="8">E81/10*3+10</f>
        <v>19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113</v>
      </c>
      <c r="G82" s="1">
        <v>2</v>
      </c>
      <c r="H82" s="1">
        <v>2</v>
      </c>
      <c r="I82" s="12" t="s">
        <v>27</v>
      </c>
      <c r="J82" s="12" t="s">
        <v>112</v>
      </c>
      <c r="K82" s="1">
        <v>100</v>
      </c>
      <c r="L82" s="1">
        <v>1</v>
      </c>
      <c r="M82" s="1">
        <v>0</v>
      </c>
      <c r="N82" s="1">
        <f>E82/10*3+2</f>
        <v>11</v>
      </c>
      <c r="O82" s="1">
        <v>5</v>
      </c>
      <c r="P82" s="1">
        <v>8</v>
      </c>
      <c r="Q82" s="1">
        <f t="shared" si="8"/>
        <v>19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114</v>
      </c>
      <c r="G83" s="1">
        <v>3</v>
      </c>
      <c r="H83" s="1">
        <v>3</v>
      </c>
      <c r="I83" s="12" t="s">
        <v>24</v>
      </c>
      <c r="J83" s="12" t="s">
        <v>115</v>
      </c>
      <c r="K83" s="1">
        <v>100</v>
      </c>
      <c r="L83" s="1">
        <v>1</v>
      </c>
      <c r="M83" s="1">
        <v>0</v>
      </c>
      <c r="N83" s="1">
        <f t="shared" ref="N83:N88" si="9">E83/10*3+3</f>
        <v>12</v>
      </c>
      <c r="O83" s="1">
        <v>5</v>
      </c>
      <c r="P83" s="1">
        <v>4</v>
      </c>
      <c r="Q83" s="1">
        <f t="shared" si="8"/>
        <v>19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116</v>
      </c>
      <c r="G84" s="1">
        <v>4</v>
      </c>
      <c r="H84" s="1">
        <v>4</v>
      </c>
      <c r="I84" s="12" t="s">
        <v>31</v>
      </c>
      <c r="J84" s="12" t="s">
        <v>117</v>
      </c>
      <c r="K84" s="1">
        <v>100</v>
      </c>
      <c r="L84" s="1">
        <v>1</v>
      </c>
      <c r="M84" s="1">
        <v>0</v>
      </c>
      <c r="N84" s="1">
        <f t="shared" si="9"/>
        <v>12</v>
      </c>
      <c r="O84" s="1">
        <v>5</v>
      </c>
      <c r="P84" s="1">
        <v>4</v>
      </c>
      <c r="Q84" s="1">
        <f t="shared" si="8"/>
        <v>19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118</v>
      </c>
      <c r="G85" s="1">
        <v>5</v>
      </c>
      <c r="H85" s="12" t="s">
        <v>34</v>
      </c>
      <c r="I85" s="12" t="s">
        <v>31</v>
      </c>
      <c r="J85" s="12" t="s">
        <v>117</v>
      </c>
      <c r="K85" s="1">
        <v>100</v>
      </c>
      <c r="L85" s="1">
        <v>1</v>
      </c>
      <c r="M85" s="1">
        <v>0</v>
      </c>
      <c r="N85" s="1">
        <f t="shared" si="9"/>
        <v>12</v>
      </c>
      <c r="O85" s="1">
        <v>5</v>
      </c>
      <c r="P85" s="1">
        <v>4</v>
      </c>
      <c r="Q85" s="1">
        <f t="shared" si="8"/>
        <v>19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119</v>
      </c>
      <c r="G86" s="1">
        <v>7</v>
      </c>
      <c r="H86" s="12" t="s">
        <v>36</v>
      </c>
      <c r="I86" s="12" t="s">
        <v>24</v>
      </c>
      <c r="J86" s="12" t="s">
        <v>115</v>
      </c>
      <c r="K86" s="1">
        <v>100</v>
      </c>
      <c r="L86" s="1">
        <v>1</v>
      </c>
      <c r="M86" s="1">
        <v>0</v>
      </c>
      <c r="N86" s="1">
        <f t="shared" si="9"/>
        <v>12</v>
      </c>
      <c r="O86" s="1">
        <v>5</v>
      </c>
      <c r="P86" s="1">
        <v>4</v>
      </c>
      <c r="Q86" s="1">
        <f t="shared" si="8"/>
        <v>19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120</v>
      </c>
      <c r="G87" s="1">
        <v>9</v>
      </c>
      <c r="H87" s="1">
        <v>9</v>
      </c>
      <c r="I87" s="12" t="s">
        <v>27</v>
      </c>
      <c r="J87" s="12" t="s">
        <v>115</v>
      </c>
      <c r="K87" s="1">
        <v>100</v>
      </c>
      <c r="L87" s="1">
        <v>1</v>
      </c>
      <c r="M87" s="1">
        <v>0</v>
      </c>
      <c r="N87" s="1">
        <f t="shared" si="9"/>
        <v>12</v>
      </c>
      <c r="O87" s="1">
        <v>5</v>
      </c>
      <c r="P87" s="1">
        <v>4</v>
      </c>
      <c r="Q87" s="1">
        <f t="shared" si="8"/>
        <v>19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121</v>
      </c>
      <c r="G88" s="1">
        <v>10</v>
      </c>
      <c r="H88" s="1">
        <v>10</v>
      </c>
      <c r="I88" s="12" t="s">
        <v>31</v>
      </c>
      <c r="J88" s="12" t="s">
        <v>117</v>
      </c>
      <c r="K88" s="1">
        <v>100</v>
      </c>
      <c r="L88" s="1">
        <v>1</v>
      </c>
      <c r="M88" s="1">
        <v>0</v>
      </c>
      <c r="N88" s="1">
        <f t="shared" si="9"/>
        <v>12</v>
      </c>
      <c r="O88" s="1">
        <v>5</v>
      </c>
      <c r="P88" s="1">
        <v>4</v>
      </c>
      <c r="Q88" s="1">
        <f t="shared" si="8"/>
        <v>19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122</v>
      </c>
      <c r="G89" s="1">
        <v>1</v>
      </c>
      <c r="H89" s="1">
        <v>1</v>
      </c>
      <c r="I89" s="12" t="s">
        <v>40</v>
      </c>
      <c r="J89" s="12" t="s">
        <v>112</v>
      </c>
      <c r="K89" s="1">
        <v>100</v>
      </c>
      <c r="L89" s="1">
        <v>2</v>
      </c>
      <c r="M89" s="1">
        <v>0</v>
      </c>
      <c r="N89" s="1">
        <f>E89/10*3+1</f>
        <v>10</v>
      </c>
      <c r="O89" s="1">
        <v>5</v>
      </c>
      <c r="P89" s="1">
        <v>8</v>
      </c>
      <c r="Q89" s="1">
        <f t="shared" si="8"/>
        <v>19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123</v>
      </c>
      <c r="G90" s="1">
        <v>2</v>
      </c>
      <c r="H90" s="1">
        <v>2</v>
      </c>
      <c r="I90" s="12" t="s">
        <v>27</v>
      </c>
      <c r="J90" s="12" t="s">
        <v>112</v>
      </c>
      <c r="K90" s="1">
        <v>100</v>
      </c>
      <c r="L90" s="1">
        <v>2</v>
      </c>
      <c r="M90" s="1">
        <v>0</v>
      </c>
      <c r="N90" s="1">
        <f>E90/10*3+2</f>
        <v>11</v>
      </c>
      <c r="O90" s="1">
        <v>5</v>
      </c>
      <c r="P90" s="1">
        <v>8</v>
      </c>
      <c r="Q90" s="1">
        <f t="shared" si="8"/>
        <v>19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124</v>
      </c>
      <c r="G91" s="1">
        <v>3</v>
      </c>
      <c r="H91" s="1">
        <v>3</v>
      </c>
      <c r="I91" s="12" t="s">
        <v>40</v>
      </c>
      <c r="J91" s="12" t="s">
        <v>115</v>
      </c>
      <c r="K91" s="1">
        <v>100</v>
      </c>
      <c r="L91" s="1">
        <v>2</v>
      </c>
      <c r="M91" s="1">
        <v>0</v>
      </c>
      <c r="N91" s="1">
        <f t="shared" ref="N91:N96" si="10">E91/10*3+3</f>
        <v>12</v>
      </c>
      <c r="O91" s="1">
        <v>5</v>
      </c>
      <c r="P91" s="1">
        <v>4</v>
      </c>
      <c r="Q91" s="1">
        <f t="shared" si="8"/>
        <v>19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125</v>
      </c>
      <c r="G92" s="1">
        <v>4</v>
      </c>
      <c r="H92" s="1">
        <v>4</v>
      </c>
      <c r="I92" s="12" t="s">
        <v>31</v>
      </c>
      <c r="J92" s="12" t="s">
        <v>117</v>
      </c>
      <c r="K92" s="1">
        <v>100</v>
      </c>
      <c r="L92" s="1">
        <v>2</v>
      </c>
      <c r="M92" s="1">
        <v>0</v>
      </c>
      <c r="N92" s="1">
        <f t="shared" si="10"/>
        <v>12</v>
      </c>
      <c r="O92" s="1">
        <v>5</v>
      </c>
      <c r="P92" s="1">
        <v>4</v>
      </c>
      <c r="Q92" s="1">
        <f t="shared" si="8"/>
        <v>19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126</v>
      </c>
      <c r="G93" s="1">
        <v>5</v>
      </c>
      <c r="H93" s="12" t="s">
        <v>34</v>
      </c>
      <c r="I93" s="12" t="s">
        <v>31</v>
      </c>
      <c r="J93" s="12" t="s">
        <v>117</v>
      </c>
      <c r="K93" s="1">
        <v>100</v>
      </c>
      <c r="L93" s="1">
        <v>2</v>
      </c>
      <c r="M93" s="1">
        <v>0</v>
      </c>
      <c r="N93" s="1">
        <f t="shared" si="10"/>
        <v>12</v>
      </c>
      <c r="O93" s="1">
        <v>5</v>
      </c>
      <c r="P93" s="1">
        <v>4</v>
      </c>
      <c r="Q93" s="1">
        <f t="shared" si="8"/>
        <v>19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127</v>
      </c>
      <c r="G94" s="1">
        <v>7</v>
      </c>
      <c r="H94" s="12" t="s">
        <v>36</v>
      </c>
      <c r="I94" s="12" t="s">
        <v>40</v>
      </c>
      <c r="J94" s="12" t="s">
        <v>115</v>
      </c>
      <c r="K94" s="1">
        <v>100</v>
      </c>
      <c r="L94" s="1">
        <v>2</v>
      </c>
      <c r="M94" s="1">
        <v>0</v>
      </c>
      <c r="N94" s="1">
        <f t="shared" si="10"/>
        <v>12</v>
      </c>
      <c r="O94" s="1">
        <v>5</v>
      </c>
      <c r="P94" s="1">
        <v>4</v>
      </c>
      <c r="Q94" s="1">
        <f t="shared" si="8"/>
        <v>19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128</v>
      </c>
      <c r="G95" s="1">
        <v>9</v>
      </c>
      <c r="H95" s="1">
        <v>9</v>
      </c>
      <c r="I95" s="12" t="s">
        <v>27</v>
      </c>
      <c r="J95" s="12" t="s">
        <v>115</v>
      </c>
      <c r="K95" s="1">
        <v>100</v>
      </c>
      <c r="L95" s="1">
        <v>2</v>
      </c>
      <c r="M95" s="1">
        <v>0</v>
      </c>
      <c r="N95" s="1">
        <f t="shared" si="10"/>
        <v>12</v>
      </c>
      <c r="O95" s="1">
        <v>5</v>
      </c>
      <c r="P95" s="1">
        <v>4</v>
      </c>
      <c r="Q95" s="1">
        <f t="shared" si="8"/>
        <v>19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129</v>
      </c>
      <c r="G96" s="1">
        <v>10</v>
      </c>
      <c r="H96" s="1">
        <v>10</v>
      </c>
      <c r="I96" s="12" t="s">
        <v>31</v>
      </c>
      <c r="J96" s="12" t="s">
        <v>117</v>
      </c>
      <c r="K96" s="1">
        <v>100</v>
      </c>
      <c r="L96" s="1">
        <v>2</v>
      </c>
      <c r="M96" s="1">
        <v>0</v>
      </c>
      <c r="N96" s="1">
        <f t="shared" si="10"/>
        <v>12</v>
      </c>
      <c r="O96" s="1">
        <v>5</v>
      </c>
      <c r="P96" s="1">
        <v>4</v>
      </c>
      <c r="Q96" s="1">
        <f t="shared" si="8"/>
        <v>19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130</v>
      </c>
      <c r="G97" s="1">
        <v>1</v>
      </c>
      <c r="H97" s="1">
        <v>1</v>
      </c>
      <c r="I97" s="12" t="s">
        <v>49</v>
      </c>
      <c r="J97" s="12" t="s">
        <v>112</v>
      </c>
      <c r="K97" s="1">
        <v>100</v>
      </c>
      <c r="L97" s="1">
        <v>3</v>
      </c>
      <c r="M97" s="1">
        <v>0</v>
      </c>
      <c r="N97" s="1">
        <f>E97/10*3+1</f>
        <v>10</v>
      </c>
      <c r="O97" s="1">
        <v>5</v>
      </c>
      <c r="P97" s="1">
        <v>8</v>
      </c>
      <c r="Q97" s="1">
        <f t="shared" si="8"/>
        <v>19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131</v>
      </c>
      <c r="G98" s="1">
        <v>2</v>
      </c>
      <c r="H98" s="1">
        <v>2</v>
      </c>
      <c r="I98" s="12" t="s">
        <v>27</v>
      </c>
      <c r="J98" s="12" t="s">
        <v>112</v>
      </c>
      <c r="K98" s="1">
        <v>100</v>
      </c>
      <c r="L98" s="1">
        <v>3</v>
      </c>
      <c r="M98" s="1">
        <v>0</v>
      </c>
      <c r="N98" s="1">
        <f>E98/10*3+2</f>
        <v>11</v>
      </c>
      <c r="O98" s="1">
        <v>5</v>
      </c>
      <c r="P98" s="1">
        <v>8</v>
      </c>
      <c r="Q98" s="1">
        <f t="shared" si="8"/>
        <v>19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132</v>
      </c>
      <c r="G99" s="1">
        <v>3</v>
      </c>
      <c r="H99" s="1">
        <v>3</v>
      </c>
      <c r="I99" s="12" t="s">
        <v>49</v>
      </c>
      <c r="J99" s="12" t="s">
        <v>115</v>
      </c>
      <c r="K99" s="1">
        <v>100</v>
      </c>
      <c r="L99" s="1">
        <v>3</v>
      </c>
      <c r="M99" s="1">
        <v>0</v>
      </c>
      <c r="N99" s="1">
        <f t="shared" ref="N99:N104" si="11">E99/10*3+3</f>
        <v>12</v>
      </c>
      <c r="O99" s="1">
        <v>5</v>
      </c>
      <c r="P99" s="1">
        <v>4</v>
      </c>
      <c r="Q99" s="1">
        <f t="shared" si="8"/>
        <v>19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133</v>
      </c>
      <c r="G100" s="1">
        <v>4</v>
      </c>
      <c r="H100" s="1">
        <v>4</v>
      </c>
      <c r="I100" s="12" t="s">
        <v>31</v>
      </c>
      <c r="J100" s="12" t="s">
        <v>117</v>
      </c>
      <c r="K100" s="1">
        <v>100</v>
      </c>
      <c r="L100" s="1">
        <v>3</v>
      </c>
      <c r="M100" s="1">
        <v>0</v>
      </c>
      <c r="N100" s="1">
        <f t="shared" si="11"/>
        <v>12</v>
      </c>
      <c r="O100" s="1">
        <v>5</v>
      </c>
      <c r="P100" s="1">
        <v>4</v>
      </c>
      <c r="Q100" s="1">
        <f t="shared" si="8"/>
        <v>19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134</v>
      </c>
      <c r="G101" s="1">
        <v>5</v>
      </c>
      <c r="H101" s="12" t="s">
        <v>34</v>
      </c>
      <c r="I101" s="12" t="s">
        <v>31</v>
      </c>
      <c r="J101" s="12" t="s">
        <v>117</v>
      </c>
      <c r="K101" s="1">
        <v>100</v>
      </c>
      <c r="L101" s="1">
        <v>3</v>
      </c>
      <c r="M101" s="1">
        <v>0</v>
      </c>
      <c r="N101" s="1">
        <f t="shared" si="11"/>
        <v>12</v>
      </c>
      <c r="O101" s="1">
        <v>5</v>
      </c>
      <c r="P101" s="1">
        <v>4</v>
      </c>
      <c r="Q101" s="1">
        <f t="shared" si="8"/>
        <v>19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135</v>
      </c>
      <c r="G102" s="1">
        <v>7</v>
      </c>
      <c r="H102" s="12" t="s">
        <v>36</v>
      </c>
      <c r="I102" s="12" t="s">
        <v>49</v>
      </c>
      <c r="J102" s="12" t="s">
        <v>115</v>
      </c>
      <c r="K102" s="1">
        <v>100</v>
      </c>
      <c r="L102" s="1">
        <v>3</v>
      </c>
      <c r="M102" s="1">
        <v>0</v>
      </c>
      <c r="N102" s="1">
        <f t="shared" si="11"/>
        <v>12</v>
      </c>
      <c r="O102" s="1">
        <v>5</v>
      </c>
      <c r="P102" s="1">
        <v>4</v>
      </c>
      <c r="Q102" s="1">
        <f t="shared" si="8"/>
        <v>19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136</v>
      </c>
      <c r="G103" s="1">
        <v>9</v>
      </c>
      <c r="H103" s="1">
        <v>9</v>
      </c>
      <c r="I103" s="12" t="s">
        <v>27</v>
      </c>
      <c r="J103" s="12" t="s">
        <v>115</v>
      </c>
      <c r="K103" s="1">
        <v>100</v>
      </c>
      <c r="L103" s="1">
        <v>3</v>
      </c>
      <c r="M103" s="1">
        <v>0</v>
      </c>
      <c r="N103" s="1">
        <f t="shared" si="11"/>
        <v>12</v>
      </c>
      <c r="O103" s="1">
        <v>5</v>
      </c>
      <c r="P103" s="1">
        <v>4</v>
      </c>
      <c r="Q103" s="1">
        <f t="shared" si="8"/>
        <v>19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137</v>
      </c>
      <c r="G104" s="1">
        <v>10</v>
      </c>
      <c r="H104" s="1">
        <v>10</v>
      </c>
      <c r="I104" s="12" t="s">
        <v>31</v>
      </c>
      <c r="J104" s="12" t="s">
        <v>117</v>
      </c>
      <c r="K104" s="1">
        <v>100</v>
      </c>
      <c r="L104" s="1">
        <v>3</v>
      </c>
      <c r="M104" s="1">
        <v>0</v>
      </c>
      <c r="N104" s="1">
        <f t="shared" si="11"/>
        <v>12</v>
      </c>
      <c r="O104" s="1">
        <v>5</v>
      </c>
      <c r="P104" s="1">
        <v>4</v>
      </c>
      <c r="Q104" s="1">
        <f t="shared" si="8"/>
        <v>19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63" workbookViewId="0">
      <selection activeCell="I109" sqref="I109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138</v>
      </c>
      <c r="G6" s="1">
        <v>1</v>
      </c>
      <c r="H6" s="1">
        <v>1</v>
      </c>
      <c r="I6" s="12" t="s">
        <v>24</v>
      </c>
      <c r="J6" s="12" t="s">
        <v>139</v>
      </c>
      <c r="K6" s="1">
        <v>100</v>
      </c>
      <c r="L6" s="1">
        <v>1</v>
      </c>
      <c r="M6" s="1">
        <v>0</v>
      </c>
      <c r="N6" s="1">
        <f>E6/10*3+1</f>
        <v>13</v>
      </c>
      <c r="O6" s="1">
        <v>5</v>
      </c>
      <c r="P6" s="1">
        <v>10</v>
      </c>
      <c r="Q6" s="1">
        <f t="shared" ref="Q6:Q29" si="0">E6/10*3+10</f>
        <v>22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140</v>
      </c>
      <c r="G7" s="1">
        <v>2</v>
      </c>
      <c r="H7" s="1">
        <v>2</v>
      </c>
      <c r="I7" s="12" t="s">
        <v>27</v>
      </c>
      <c r="J7" s="12" t="s">
        <v>139</v>
      </c>
      <c r="K7" s="1">
        <v>100</v>
      </c>
      <c r="L7" s="1">
        <v>1</v>
      </c>
      <c r="M7" s="1">
        <v>0</v>
      </c>
      <c r="N7" s="1">
        <f>E7/10*3+2</f>
        <v>14</v>
      </c>
      <c r="O7" s="1">
        <v>5</v>
      </c>
      <c r="P7" s="1">
        <v>10</v>
      </c>
      <c r="Q7" s="1">
        <f t="shared" si="0"/>
        <v>22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141</v>
      </c>
      <c r="G8" s="1">
        <v>3</v>
      </c>
      <c r="H8" s="1">
        <v>3</v>
      </c>
      <c r="I8" s="12" t="s">
        <v>24</v>
      </c>
      <c r="J8" s="12" t="s">
        <v>142</v>
      </c>
      <c r="K8" s="1">
        <v>100</v>
      </c>
      <c r="L8" s="1">
        <v>1</v>
      </c>
      <c r="M8" s="1">
        <v>0</v>
      </c>
      <c r="N8" s="1">
        <f t="shared" ref="N8:N13" si="1">E8/10*3+3</f>
        <v>15</v>
      </c>
      <c r="O8" s="1">
        <v>5</v>
      </c>
      <c r="P8" s="1">
        <v>5</v>
      </c>
      <c r="Q8" s="1">
        <f t="shared" si="0"/>
        <v>22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143</v>
      </c>
      <c r="G9" s="1">
        <v>4</v>
      </c>
      <c r="H9" s="1">
        <v>4</v>
      </c>
      <c r="I9" s="12" t="s">
        <v>31</v>
      </c>
      <c r="J9" s="12" t="s">
        <v>144</v>
      </c>
      <c r="K9" s="1">
        <v>100</v>
      </c>
      <c r="L9" s="1">
        <v>1</v>
      </c>
      <c r="M9" s="1">
        <v>0</v>
      </c>
      <c r="N9" s="1">
        <f t="shared" si="1"/>
        <v>15</v>
      </c>
      <c r="O9" s="1">
        <v>5</v>
      </c>
      <c r="P9" s="1">
        <v>5</v>
      </c>
      <c r="Q9" s="1">
        <f t="shared" si="0"/>
        <v>22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145</v>
      </c>
      <c r="G10" s="1">
        <v>5</v>
      </c>
      <c r="H10" s="12" t="s">
        <v>34</v>
      </c>
      <c r="I10" s="12" t="s">
        <v>31</v>
      </c>
      <c r="J10" s="12" t="s">
        <v>144</v>
      </c>
      <c r="K10" s="1">
        <v>100</v>
      </c>
      <c r="L10" s="1">
        <v>1</v>
      </c>
      <c r="M10" s="1">
        <v>0</v>
      </c>
      <c r="N10" s="1">
        <f t="shared" si="1"/>
        <v>15</v>
      </c>
      <c r="O10" s="1">
        <v>5</v>
      </c>
      <c r="P10" s="1">
        <v>5</v>
      </c>
      <c r="Q10" s="1">
        <f t="shared" si="0"/>
        <v>22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146</v>
      </c>
      <c r="G11" s="1">
        <v>7</v>
      </c>
      <c r="H11" s="12" t="s">
        <v>36</v>
      </c>
      <c r="I11" s="12" t="s">
        <v>24</v>
      </c>
      <c r="J11" s="12" t="s">
        <v>142</v>
      </c>
      <c r="K11" s="1">
        <v>100</v>
      </c>
      <c r="L11" s="1">
        <v>1</v>
      </c>
      <c r="M11" s="1">
        <v>0</v>
      </c>
      <c r="N11" s="1">
        <f t="shared" si="1"/>
        <v>15</v>
      </c>
      <c r="O11" s="1">
        <v>5</v>
      </c>
      <c r="P11" s="1">
        <v>5</v>
      </c>
      <c r="Q11" s="1">
        <f t="shared" si="0"/>
        <v>22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147</v>
      </c>
      <c r="G12" s="1">
        <v>9</v>
      </c>
      <c r="H12" s="1">
        <v>9</v>
      </c>
      <c r="I12" s="12" t="s">
        <v>27</v>
      </c>
      <c r="J12" s="12" t="s">
        <v>142</v>
      </c>
      <c r="K12" s="1">
        <v>100</v>
      </c>
      <c r="L12" s="1">
        <v>1</v>
      </c>
      <c r="M12" s="1">
        <v>0</v>
      </c>
      <c r="N12" s="1">
        <f t="shared" si="1"/>
        <v>15</v>
      </c>
      <c r="O12" s="1">
        <v>5</v>
      </c>
      <c r="P12" s="1">
        <v>5</v>
      </c>
      <c r="Q12" s="1">
        <f t="shared" si="0"/>
        <v>22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148</v>
      </c>
      <c r="G13" s="1">
        <v>10</v>
      </c>
      <c r="H13" s="1">
        <v>10</v>
      </c>
      <c r="I13" s="12" t="s">
        <v>31</v>
      </c>
      <c r="J13" s="12" t="s">
        <v>144</v>
      </c>
      <c r="K13" s="1">
        <v>100</v>
      </c>
      <c r="L13" s="1">
        <v>1</v>
      </c>
      <c r="M13" s="1">
        <v>0</v>
      </c>
      <c r="N13" s="1">
        <f t="shared" si="1"/>
        <v>15</v>
      </c>
      <c r="O13" s="1">
        <v>5</v>
      </c>
      <c r="P13" s="1">
        <v>5</v>
      </c>
      <c r="Q13" s="1">
        <f t="shared" si="0"/>
        <v>22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149</v>
      </c>
      <c r="G14" s="1">
        <v>1</v>
      </c>
      <c r="H14" s="1">
        <v>1</v>
      </c>
      <c r="I14" s="12" t="s">
        <v>40</v>
      </c>
      <c r="J14" s="12" t="s">
        <v>139</v>
      </c>
      <c r="K14" s="1">
        <v>100</v>
      </c>
      <c r="L14" s="1">
        <v>2</v>
      </c>
      <c r="M14" s="1">
        <v>0</v>
      </c>
      <c r="N14" s="1">
        <f>E14/10*3+1</f>
        <v>13</v>
      </c>
      <c r="O14" s="1">
        <v>5</v>
      </c>
      <c r="P14" s="1">
        <v>10</v>
      </c>
      <c r="Q14" s="1">
        <f t="shared" si="0"/>
        <v>22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150</v>
      </c>
      <c r="G15" s="1">
        <v>2</v>
      </c>
      <c r="H15" s="1">
        <v>2</v>
      </c>
      <c r="I15" s="12" t="s">
        <v>27</v>
      </c>
      <c r="J15" s="12" t="s">
        <v>139</v>
      </c>
      <c r="K15" s="1">
        <v>100</v>
      </c>
      <c r="L15" s="1">
        <v>2</v>
      </c>
      <c r="M15" s="1">
        <v>0</v>
      </c>
      <c r="N15" s="1">
        <f>E15/10*3+2</f>
        <v>14</v>
      </c>
      <c r="O15" s="1">
        <v>5</v>
      </c>
      <c r="P15" s="1">
        <v>10</v>
      </c>
      <c r="Q15" s="1">
        <f t="shared" si="0"/>
        <v>22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151</v>
      </c>
      <c r="G16" s="1">
        <v>3</v>
      </c>
      <c r="H16" s="1">
        <v>3</v>
      </c>
      <c r="I16" s="12" t="s">
        <v>40</v>
      </c>
      <c r="J16" s="12" t="s">
        <v>142</v>
      </c>
      <c r="K16" s="1">
        <v>100</v>
      </c>
      <c r="L16" s="1">
        <v>2</v>
      </c>
      <c r="M16" s="1">
        <v>0</v>
      </c>
      <c r="N16" s="1">
        <f t="shared" ref="N16:N21" si="2">E16/10*3+3</f>
        <v>15</v>
      </c>
      <c r="O16" s="1">
        <v>5</v>
      </c>
      <c r="P16" s="1">
        <v>5</v>
      </c>
      <c r="Q16" s="1">
        <f t="shared" si="0"/>
        <v>22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152</v>
      </c>
      <c r="G17" s="1">
        <v>4</v>
      </c>
      <c r="H17" s="1">
        <v>4</v>
      </c>
      <c r="I17" s="12" t="s">
        <v>31</v>
      </c>
      <c r="J17" s="12" t="s">
        <v>144</v>
      </c>
      <c r="K17" s="1">
        <v>100</v>
      </c>
      <c r="L17" s="1">
        <v>2</v>
      </c>
      <c r="M17" s="1">
        <v>0</v>
      </c>
      <c r="N17" s="1">
        <f t="shared" si="2"/>
        <v>15</v>
      </c>
      <c r="O17" s="1">
        <v>5</v>
      </c>
      <c r="P17" s="1">
        <v>5</v>
      </c>
      <c r="Q17" s="1">
        <f t="shared" si="0"/>
        <v>22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153</v>
      </c>
      <c r="G18" s="1">
        <v>5</v>
      </c>
      <c r="H18" s="12" t="s">
        <v>34</v>
      </c>
      <c r="I18" s="12" t="s">
        <v>31</v>
      </c>
      <c r="J18" s="12" t="s">
        <v>144</v>
      </c>
      <c r="K18" s="1">
        <v>100</v>
      </c>
      <c r="L18" s="1">
        <v>2</v>
      </c>
      <c r="M18" s="1">
        <v>0</v>
      </c>
      <c r="N18" s="1">
        <f t="shared" si="2"/>
        <v>15</v>
      </c>
      <c r="O18" s="1">
        <v>5</v>
      </c>
      <c r="P18" s="1">
        <v>5</v>
      </c>
      <c r="Q18" s="1">
        <f t="shared" si="0"/>
        <v>22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154</v>
      </c>
      <c r="G19" s="1">
        <v>7</v>
      </c>
      <c r="H19" s="12" t="s">
        <v>36</v>
      </c>
      <c r="I19" s="12" t="s">
        <v>40</v>
      </c>
      <c r="J19" s="12" t="s">
        <v>142</v>
      </c>
      <c r="K19" s="1">
        <v>100</v>
      </c>
      <c r="L19" s="1">
        <v>2</v>
      </c>
      <c r="M19" s="1">
        <v>0</v>
      </c>
      <c r="N19" s="1">
        <f t="shared" si="2"/>
        <v>15</v>
      </c>
      <c r="O19" s="1">
        <v>5</v>
      </c>
      <c r="P19" s="1">
        <v>5</v>
      </c>
      <c r="Q19" s="1">
        <f t="shared" si="0"/>
        <v>22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155</v>
      </c>
      <c r="G20" s="1">
        <v>9</v>
      </c>
      <c r="H20" s="1">
        <v>9</v>
      </c>
      <c r="I20" s="12" t="s">
        <v>27</v>
      </c>
      <c r="J20" s="12" t="s">
        <v>142</v>
      </c>
      <c r="K20" s="1">
        <v>100</v>
      </c>
      <c r="L20" s="1">
        <v>2</v>
      </c>
      <c r="M20" s="1">
        <v>0</v>
      </c>
      <c r="N20" s="1">
        <f t="shared" si="2"/>
        <v>15</v>
      </c>
      <c r="O20" s="1">
        <v>5</v>
      </c>
      <c r="P20" s="1">
        <v>5</v>
      </c>
      <c r="Q20" s="1">
        <f t="shared" si="0"/>
        <v>22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156</v>
      </c>
      <c r="G21" s="1">
        <v>10</v>
      </c>
      <c r="H21" s="1">
        <v>10</v>
      </c>
      <c r="I21" s="12" t="s">
        <v>31</v>
      </c>
      <c r="J21" s="12" t="s">
        <v>144</v>
      </c>
      <c r="K21" s="1">
        <v>100</v>
      </c>
      <c r="L21" s="1">
        <v>2</v>
      </c>
      <c r="M21" s="1">
        <v>0</v>
      </c>
      <c r="N21" s="1">
        <f t="shared" si="2"/>
        <v>15</v>
      </c>
      <c r="O21" s="1">
        <v>5</v>
      </c>
      <c r="P21" s="1">
        <v>5</v>
      </c>
      <c r="Q21" s="1">
        <f t="shared" si="0"/>
        <v>22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157</v>
      </c>
      <c r="G22" s="1">
        <v>1</v>
      </c>
      <c r="H22" s="1">
        <v>1</v>
      </c>
      <c r="I22" s="12" t="s">
        <v>49</v>
      </c>
      <c r="J22" s="12" t="s">
        <v>139</v>
      </c>
      <c r="K22" s="1">
        <v>100</v>
      </c>
      <c r="L22" s="1">
        <v>3</v>
      </c>
      <c r="M22" s="1">
        <v>0</v>
      </c>
      <c r="N22" s="1">
        <f>E22/10*3+1</f>
        <v>13</v>
      </c>
      <c r="O22" s="1">
        <v>5</v>
      </c>
      <c r="P22" s="1">
        <v>10</v>
      </c>
      <c r="Q22" s="1">
        <f t="shared" si="0"/>
        <v>22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158</v>
      </c>
      <c r="G23" s="1">
        <v>2</v>
      </c>
      <c r="H23" s="1">
        <v>2</v>
      </c>
      <c r="I23" s="12" t="s">
        <v>27</v>
      </c>
      <c r="J23" s="12" t="s">
        <v>139</v>
      </c>
      <c r="K23" s="1">
        <v>100</v>
      </c>
      <c r="L23" s="1">
        <v>3</v>
      </c>
      <c r="M23" s="1">
        <v>0</v>
      </c>
      <c r="N23" s="1">
        <f>E23/10*3+2</f>
        <v>14</v>
      </c>
      <c r="O23" s="1">
        <v>5</v>
      </c>
      <c r="P23" s="1">
        <v>10</v>
      </c>
      <c r="Q23" s="1">
        <f t="shared" si="0"/>
        <v>22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159</v>
      </c>
      <c r="G24" s="1">
        <v>3</v>
      </c>
      <c r="H24" s="1">
        <v>3</v>
      </c>
      <c r="I24" s="12" t="s">
        <v>49</v>
      </c>
      <c r="J24" s="12" t="s">
        <v>142</v>
      </c>
      <c r="K24" s="1">
        <v>100</v>
      </c>
      <c r="L24" s="1">
        <v>3</v>
      </c>
      <c r="M24" s="1">
        <v>0</v>
      </c>
      <c r="N24" s="1">
        <f t="shared" ref="N24:N29" si="3">E24/10*3+3</f>
        <v>15</v>
      </c>
      <c r="O24" s="1">
        <v>5</v>
      </c>
      <c r="P24" s="1">
        <v>5</v>
      </c>
      <c r="Q24" s="1">
        <f t="shared" si="0"/>
        <v>22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160</v>
      </c>
      <c r="G25" s="1">
        <v>4</v>
      </c>
      <c r="H25" s="1">
        <v>4</v>
      </c>
      <c r="I25" s="12" t="s">
        <v>31</v>
      </c>
      <c r="J25" s="12" t="s">
        <v>144</v>
      </c>
      <c r="K25" s="1">
        <v>100</v>
      </c>
      <c r="L25" s="1">
        <v>3</v>
      </c>
      <c r="M25" s="1">
        <v>0</v>
      </c>
      <c r="N25" s="1">
        <f t="shared" si="3"/>
        <v>15</v>
      </c>
      <c r="O25" s="1">
        <v>5</v>
      </c>
      <c r="P25" s="1">
        <v>5</v>
      </c>
      <c r="Q25" s="1">
        <f t="shared" si="0"/>
        <v>22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161</v>
      </c>
      <c r="G26" s="1">
        <v>5</v>
      </c>
      <c r="H26" s="12" t="s">
        <v>34</v>
      </c>
      <c r="I26" s="12" t="s">
        <v>31</v>
      </c>
      <c r="J26" s="12" t="s">
        <v>144</v>
      </c>
      <c r="K26" s="1">
        <v>100</v>
      </c>
      <c r="L26" s="1">
        <v>3</v>
      </c>
      <c r="M26" s="1">
        <v>0</v>
      </c>
      <c r="N26" s="1">
        <f t="shared" si="3"/>
        <v>15</v>
      </c>
      <c r="O26" s="1">
        <v>5</v>
      </c>
      <c r="P26" s="1">
        <v>5</v>
      </c>
      <c r="Q26" s="1">
        <f t="shared" si="0"/>
        <v>22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162</v>
      </c>
      <c r="G27" s="1">
        <v>7</v>
      </c>
      <c r="H27" s="12" t="s">
        <v>36</v>
      </c>
      <c r="I27" s="12" t="s">
        <v>49</v>
      </c>
      <c r="J27" s="12" t="s">
        <v>142</v>
      </c>
      <c r="K27" s="1">
        <v>100</v>
      </c>
      <c r="L27" s="1">
        <v>3</v>
      </c>
      <c r="M27" s="1">
        <v>0</v>
      </c>
      <c r="N27" s="1">
        <f t="shared" si="3"/>
        <v>15</v>
      </c>
      <c r="O27" s="1">
        <v>5</v>
      </c>
      <c r="P27" s="1">
        <v>5</v>
      </c>
      <c r="Q27" s="1">
        <f t="shared" si="0"/>
        <v>22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163</v>
      </c>
      <c r="G28" s="1">
        <v>9</v>
      </c>
      <c r="H28" s="1">
        <v>9</v>
      </c>
      <c r="I28" s="12" t="s">
        <v>27</v>
      </c>
      <c r="J28" s="12" t="s">
        <v>142</v>
      </c>
      <c r="K28" s="1">
        <v>100</v>
      </c>
      <c r="L28" s="1">
        <v>3</v>
      </c>
      <c r="M28" s="1">
        <v>0</v>
      </c>
      <c r="N28" s="1">
        <f t="shared" si="3"/>
        <v>15</v>
      </c>
      <c r="O28" s="1">
        <v>5</v>
      </c>
      <c r="P28" s="1">
        <v>5</v>
      </c>
      <c r="Q28" s="1">
        <f t="shared" si="0"/>
        <v>22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164</v>
      </c>
      <c r="G29" s="1">
        <v>10</v>
      </c>
      <c r="H29" s="1">
        <v>10</v>
      </c>
      <c r="I29" s="12" t="s">
        <v>31</v>
      </c>
      <c r="J29" s="12" t="s">
        <v>144</v>
      </c>
      <c r="K29" s="1">
        <v>100</v>
      </c>
      <c r="L29" s="1">
        <v>3</v>
      </c>
      <c r="M29" s="1">
        <v>0</v>
      </c>
      <c r="N29" s="1">
        <f t="shared" si="3"/>
        <v>15</v>
      </c>
      <c r="O29" s="1">
        <v>5</v>
      </c>
      <c r="P29" s="1">
        <v>5</v>
      </c>
      <c r="Q29" s="1">
        <f t="shared" si="0"/>
        <v>22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165</v>
      </c>
      <c r="G31" s="1">
        <v>1</v>
      </c>
      <c r="H31" s="1">
        <v>1</v>
      </c>
      <c r="I31" s="12" t="s">
        <v>24</v>
      </c>
      <c r="J31" s="12" t="s">
        <v>166</v>
      </c>
      <c r="K31" s="1">
        <v>100</v>
      </c>
      <c r="L31" s="1">
        <v>1</v>
      </c>
      <c r="M31" s="1">
        <v>0</v>
      </c>
      <c r="N31" s="1">
        <f>E31/10*3+1</f>
        <v>16</v>
      </c>
      <c r="O31" s="1">
        <v>5</v>
      </c>
      <c r="P31" s="1">
        <v>12</v>
      </c>
      <c r="Q31" s="1">
        <f t="shared" ref="Q31:Q54" si="4">E31/10*3+10</f>
        <v>25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167</v>
      </c>
      <c r="G32" s="1">
        <v>2</v>
      </c>
      <c r="H32" s="1">
        <v>2</v>
      </c>
      <c r="I32" s="12" t="s">
        <v>27</v>
      </c>
      <c r="J32" s="12" t="s">
        <v>166</v>
      </c>
      <c r="K32" s="1">
        <v>100</v>
      </c>
      <c r="L32" s="1">
        <v>1</v>
      </c>
      <c r="M32" s="1">
        <v>0</v>
      </c>
      <c r="N32" s="1">
        <f>E32/10*3+2</f>
        <v>17</v>
      </c>
      <c r="O32" s="1">
        <v>5</v>
      </c>
      <c r="P32" s="1">
        <v>12</v>
      </c>
      <c r="Q32" s="1">
        <f t="shared" si="4"/>
        <v>25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168</v>
      </c>
      <c r="G33" s="1">
        <v>3</v>
      </c>
      <c r="H33" s="1">
        <v>3</v>
      </c>
      <c r="I33" s="12" t="s">
        <v>24</v>
      </c>
      <c r="J33" s="12" t="s">
        <v>169</v>
      </c>
      <c r="K33" s="1">
        <v>100</v>
      </c>
      <c r="L33" s="1">
        <v>1</v>
      </c>
      <c r="M33" s="1">
        <v>0</v>
      </c>
      <c r="N33" s="1">
        <f t="shared" ref="N33:N38" si="5">E33/10*3+3</f>
        <v>18</v>
      </c>
      <c r="O33" s="1">
        <v>5</v>
      </c>
      <c r="P33" s="1">
        <v>6</v>
      </c>
      <c r="Q33" s="1">
        <f t="shared" si="4"/>
        <v>25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170</v>
      </c>
      <c r="G34" s="1">
        <v>4</v>
      </c>
      <c r="H34" s="1">
        <v>4</v>
      </c>
      <c r="I34" s="12" t="s">
        <v>31</v>
      </c>
      <c r="J34" s="12" t="s">
        <v>171</v>
      </c>
      <c r="K34" s="1">
        <v>100</v>
      </c>
      <c r="L34" s="1">
        <v>1</v>
      </c>
      <c r="M34" s="1">
        <v>0</v>
      </c>
      <c r="N34" s="1">
        <f t="shared" si="5"/>
        <v>18</v>
      </c>
      <c r="O34" s="1">
        <v>5</v>
      </c>
      <c r="P34" s="1">
        <v>6</v>
      </c>
      <c r="Q34" s="1">
        <f t="shared" si="4"/>
        <v>25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172</v>
      </c>
      <c r="G35" s="1">
        <v>5</v>
      </c>
      <c r="H35" s="12" t="s">
        <v>34</v>
      </c>
      <c r="I35" s="12" t="s">
        <v>31</v>
      </c>
      <c r="J35" s="12" t="s">
        <v>171</v>
      </c>
      <c r="K35" s="1">
        <v>100</v>
      </c>
      <c r="L35" s="1">
        <v>1</v>
      </c>
      <c r="M35" s="1">
        <v>0</v>
      </c>
      <c r="N35" s="1">
        <f t="shared" si="5"/>
        <v>18</v>
      </c>
      <c r="O35" s="1">
        <v>5</v>
      </c>
      <c r="P35" s="1">
        <v>6</v>
      </c>
      <c r="Q35" s="1">
        <f t="shared" si="4"/>
        <v>25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173</v>
      </c>
      <c r="G36" s="1">
        <v>7</v>
      </c>
      <c r="H36" s="12" t="s">
        <v>36</v>
      </c>
      <c r="I36" s="12" t="s">
        <v>24</v>
      </c>
      <c r="J36" s="12" t="s">
        <v>169</v>
      </c>
      <c r="K36" s="1">
        <v>100</v>
      </c>
      <c r="L36" s="1">
        <v>1</v>
      </c>
      <c r="M36" s="1">
        <v>0</v>
      </c>
      <c r="N36" s="1">
        <f t="shared" si="5"/>
        <v>18</v>
      </c>
      <c r="O36" s="1">
        <v>5</v>
      </c>
      <c r="P36" s="1">
        <v>6</v>
      </c>
      <c r="Q36" s="1">
        <f t="shared" si="4"/>
        <v>25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174</v>
      </c>
      <c r="G37" s="1">
        <v>9</v>
      </c>
      <c r="H37" s="1">
        <v>9</v>
      </c>
      <c r="I37" s="12" t="s">
        <v>27</v>
      </c>
      <c r="J37" s="12" t="s">
        <v>169</v>
      </c>
      <c r="K37" s="1">
        <v>100</v>
      </c>
      <c r="L37" s="1">
        <v>1</v>
      </c>
      <c r="M37" s="1">
        <v>0</v>
      </c>
      <c r="N37" s="1">
        <f t="shared" si="5"/>
        <v>18</v>
      </c>
      <c r="O37" s="1">
        <v>5</v>
      </c>
      <c r="P37" s="1">
        <v>6</v>
      </c>
      <c r="Q37" s="1">
        <f t="shared" si="4"/>
        <v>25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175</v>
      </c>
      <c r="G38" s="1">
        <v>10</v>
      </c>
      <c r="H38" s="1">
        <v>10</v>
      </c>
      <c r="I38" s="12" t="s">
        <v>31</v>
      </c>
      <c r="J38" s="12" t="s">
        <v>171</v>
      </c>
      <c r="K38" s="1">
        <v>100</v>
      </c>
      <c r="L38" s="1">
        <v>1</v>
      </c>
      <c r="M38" s="1">
        <v>0</v>
      </c>
      <c r="N38" s="1">
        <f t="shared" si="5"/>
        <v>18</v>
      </c>
      <c r="O38" s="1">
        <v>5</v>
      </c>
      <c r="P38" s="1">
        <v>6</v>
      </c>
      <c r="Q38" s="1">
        <f t="shared" si="4"/>
        <v>25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176</v>
      </c>
      <c r="G39" s="1">
        <v>1</v>
      </c>
      <c r="H39" s="1">
        <v>1</v>
      </c>
      <c r="I39" s="12" t="s">
        <v>40</v>
      </c>
      <c r="J39" s="12" t="s">
        <v>166</v>
      </c>
      <c r="K39" s="1">
        <v>100</v>
      </c>
      <c r="L39" s="1">
        <v>2</v>
      </c>
      <c r="M39" s="1">
        <v>0</v>
      </c>
      <c r="N39" s="1">
        <f>E39/10*3+1</f>
        <v>16</v>
      </c>
      <c r="O39" s="1">
        <v>5</v>
      </c>
      <c r="P39" s="1">
        <v>12</v>
      </c>
      <c r="Q39" s="1">
        <f t="shared" si="4"/>
        <v>25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177</v>
      </c>
      <c r="G40" s="1">
        <v>2</v>
      </c>
      <c r="H40" s="1">
        <v>2</v>
      </c>
      <c r="I40" s="12" t="s">
        <v>27</v>
      </c>
      <c r="J40" s="12" t="s">
        <v>166</v>
      </c>
      <c r="K40" s="1">
        <v>100</v>
      </c>
      <c r="L40" s="1">
        <v>2</v>
      </c>
      <c r="M40" s="1">
        <v>0</v>
      </c>
      <c r="N40" s="1">
        <f>E40/10*3+2</f>
        <v>17</v>
      </c>
      <c r="O40" s="1">
        <v>5</v>
      </c>
      <c r="P40" s="1">
        <v>12</v>
      </c>
      <c r="Q40" s="1">
        <f t="shared" si="4"/>
        <v>25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178</v>
      </c>
      <c r="G41" s="1">
        <v>3</v>
      </c>
      <c r="H41" s="1">
        <v>3</v>
      </c>
      <c r="I41" s="12" t="s">
        <v>40</v>
      </c>
      <c r="J41" s="12" t="s">
        <v>169</v>
      </c>
      <c r="K41" s="1">
        <v>100</v>
      </c>
      <c r="L41" s="1">
        <v>2</v>
      </c>
      <c r="M41" s="1">
        <v>0</v>
      </c>
      <c r="N41" s="1">
        <f t="shared" ref="N41:N46" si="6">E41/10*3+3</f>
        <v>18</v>
      </c>
      <c r="O41" s="1">
        <v>5</v>
      </c>
      <c r="P41" s="1">
        <v>6</v>
      </c>
      <c r="Q41" s="1">
        <f t="shared" si="4"/>
        <v>25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179</v>
      </c>
      <c r="G42" s="1">
        <v>4</v>
      </c>
      <c r="H42" s="1">
        <v>4</v>
      </c>
      <c r="I42" s="12" t="s">
        <v>31</v>
      </c>
      <c r="J42" s="12" t="s">
        <v>171</v>
      </c>
      <c r="K42" s="1">
        <v>100</v>
      </c>
      <c r="L42" s="1">
        <v>2</v>
      </c>
      <c r="M42" s="1">
        <v>0</v>
      </c>
      <c r="N42" s="1">
        <f t="shared" si="6"/>
        <v>18</v>
      </c>
      <c r="O42" s="1">
        <v>5</v>
      </c>
      <c r="P42" s="1">
        <v>6</v>
      </c>
      <c r="Q42" s="1">
        <f t="shared" si="4"/>
        <v>25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180</v>
      </c>
      <c r="G43" s="1">
        <v>5</v>
      </c>
      <c r="H43" s="12" t="s">
        <v>34</v>
      </c>
      <c r="I43" s="12" t="s">
        <v>31</v>
      </c>
      <c r="J43" s="12" t="s">
        <v>171</v>
      </c>
      <c r="K43" s="1">
        <v>100</v>
      </c>
      <c r="L43" s="1">
        <v>2</v>
      </c>
      <c r="M43" s="1">
        <v>0</v>
      </c>
      <c r="N43" s="1">
        <f t="shared" si="6"/>
        <v>18</v>
      </c>
      <c r="O43" s="1">
        <v>5</v>
      </c>
      <c r="P43" s="1">
        <v>6</v>
      </c>
      <c r="Q43" s="1">
        <f t="shared" si="4"/>
        <v>25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181</v>
      </c>
      <c r="G44" s="1">
        <v>7</v>
      </c>
      <c r="H44" s="12" t="s">
        <v>36</v>
      </c>
      <c r="I44" s="12" t="s">
        <v>40</v>
      </c>
      <c r="J44" s="12" t="s">
        <v>169</v>
      </c>
      <c r="K44" s="1">
        <v>100</v>
      </c>
      <c r="L44" s="1">
        <v>2</v>
      </c>
      <c r="M44" s="1">
        <v>0</v>
      </c>
      <c r="N44" s="1">
        <f t="shared" si="6"/>
        <v>18</v>
      </c>
      <c r="O44" s="1">
        <v>5</v>
      </c>
      <c r="P44" s="1">
        <v>6</v>
      </c>
      <c r="Q44" s="1">
        <f t="shared" si="4"/>
        <v>25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182</v>
      </c>
      <c r="G45" s="1">
        <v>9</v>
      </c>
      <c r="H45" s="1">
        <v>9</v>
      </c>
      <c r="I45" s="12" t="s">
        <v>27</v>
      </c>
      <c r="J45" s="12" t="s">
        <v>169</v>
      </c>
      <c r="K45" s="1">
        <v>100</v>
      </c>
      <c r="L45" s="1">
        <v>2</v>
      </c>
      <c r="M45" s="1">
        <v>0</v>
      </c>
      <c r="N45" s="1">
        <f t="shared" si="6"/>
        <v>18</v>
      </c>
      <c r="O45" s="1">
        <v>5</v>
      </c>
      <c r="P45" s="1">
        <v>6</v>
      </c>
      <c r="Q45" s="1">
        <f t="shared" si="4"/>
        <v>25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183</v>
      </c>
      <c r="G46" s="1">
        <v>10</v>
      </c>
      <c r="H46" s="1">
        <v>10</v>
      </c>
      <c r="I46" s="12" t="s">
        <v>31</v>
      </c>
      <c r="J46" s="12" t="s">
        <v>171</v>
      </c>
      <c r="K46" s="1">
        <v>100</v>
      </c>
      <c r="L46" s="1">
        <v>2</v>
      </c>
      <c r="M46" s="1">
        <v>0</v>
      </c>
      <c r="N46" s="1">
        <f t="shared" si="6"/>
        <v>18</v>
      </c>
      <c r="O46" s="1">
        <v>5</v>
      </c>
      <c r="P46" s="1">
        <v>6</v>
      </c>
      <c r="Q46" s="1">
        <f t="shared" si="4"/>
        <v>25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184</v>
      </c>
      <c r="G47" s="1">
        <v>1</v>
      </c>
      <c r="H47" s="1">
        <v>1</v>
      </c>
      <c r="I47" s="12" t="s">
        <v>49</v>
      </c>
      <c r="J47" s="12" t="s">
        <v>166</v>
      </c>
      <c r="K47" s="1">
        <v>100</v>
      </c>
      <c r="L47" s="1">
        <v>3</v>
      </c>
      <c r="M47" s="1">
        <v>0</v>
      </c>
      <c r="N47" s="1">
        <f>E47/10*3+1</f>
        <v>16</v>
      </c>
      <c r="O47" s="1">
        <v>5</v>
      </c>
      <c r="P47" s="1">
        <v>12</v>
      </c>
      <c r="Q47" s="1">
        <f t="shared" si="4"/>
        <v>25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185</v>
      </c>
      <c r="G48" s="1">
        <v>2</v>
      </c>
      <c r="H48" s="1">
        <v>2</v>
      </c>
      <c r="I48" s="12" t="s">
        <v>27</v>
      </c>
      <c r="J48" s="12" t="s">
        <v>166</v>
      </c>
      <c r="K48" s="1">
        <v>100</v>
      </c>
      <c r="L48" s="1">
        <v>3</v>
      </c>
      <c r="M48" s="1">
        <v>0</v>
      </c>
      <c r="N48" s="1">
        <f>E48/10*3+2</f>
        <v>17</v>
      </c>
      <c r="O48" s="1">
        <v>5</v>
      </c>
      <c r="P48" s="1">
        <v>12</v>
      </c>
      <c r="Q48" s="1">
        <f t="shared" si="4"/>
        <v>25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186</v>
      </c>
      <c r="G49" s="1">
        <v>3</v>
      </c>
      <c r="H49" s="1">
        <v>3</v>
      </c>
      <c r="I49" s="12" t="s">
        <v>49</v>
      </c>
      <c r="J49" s="12" t="s">
        <v>169</v>
      </c>
      <c r="K49" s="1">
        <v>100</v>
      </c>
      <c r="L49" s="1">
        <v>3</v>
      </c>
      <c r="M49" s="1">
        <v>0</v>
      </c>
      <c r="N49" s="1">
        <f t="shared" ref="N49:N54" si="7">E49/10*3+3</f>
        <v>18</v>
      </c>
      <c r="O49" s="1">
        <v>5</v>
      </c>
      <c r="P49" s="1">
        <v>6</v>
      </c>
      <c r="Q49" s="1">
        <f t="shared" si="4"/>
        <v>25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187</v>
      </c>
      <c r="G50" s="1">
        <v>4</v>
      </c>
      <c r="H50" s="1">
        <v>4</v>
      </c>
      <c r="I50" s="12" t="s">
        <v>31</v>
      </c>
      <c r="J50" s="12" t="s">
        <v>171</v>
      </c>
      <c r="K50" s="1">
        <v>100</v>
      </c>
      <c r="L50" s="1">
        <v>3</v>
      </c>
      <c r="M50" s="1">
        <v>0</v>
      </c>
      <c r="N50" s="1">
        <f t="shared" si="7"/>
        <v>18</v>
      </c>
      <c r="O50" s="1">
        <v>5</v>
      </c>
      <c r="P50" s="1">
        <v>6</v>
      </c>
      <c r="Q50" s="1">
        <f t="shared" si="4"/>
        <v>25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188</v>
      </c>
      <c r="G51" s="1">
        <v>5</v>
      </c>
      <c r="H51" s="12" t="s">
        <v>34</v>
      </c>
      <c r="I51" s="12" t="s">
        <v>31</v>
      </c>
      <c r="J51" s="12" t="s">
        <v>171</v>
      </c>
      <c r="K51" s="1">
        <v>100</v>
      </c>
      <c r="L51" s="1">
        <v>3</v>
      </c>
      <c r="M51" s="1">
        <v>0</v>
      </c>
      <c r="N51" s="1">
        <f t="shared" si="7"/>
        <v>18</v>
      </c>
      <c r="O51" s="1">
        <v>5</v>
      </c>
      <c r="P51" s="1">
        <v>6</v>
      </c>
      <c r="Q51" s="1">
        <f t="shared" si="4"/>
        <v>25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189</v>
      </c>
      <c r="G52" s="1">
        <v>7</v>
      </c>
      <c r="H52" s="12" t="s">
        <v>36</v>
      </c>
      <c r="I52" s="12" t="s">
        <v>49</v>
      </c>
      <c r="J52" s="12" t="s">
        <v>169</v>
      </c>
      <c r="K52" s="1">
        <v>100</v>
      </c>
      <c r="L52" s="1">
        <v>3</v>
      </c>
      <c r="M52" s="1">
        <v>0</v>
      </c>
      <c r="N52" s="1">
        <f t="shared" si="7"/>
        <v>18</v>
      </c>
      <c r="O52" s="1">
        <v>5</v>
      </c>
      <c r="P52" s="1">
        <v>6</v>
      </c>
      <c r="Q52" s="1">
        <f t="shared" si="4"/>
        <v>25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190</v>
      </c>
      <c r="G53" s="1">
        <v>9</v>
      </c>
      <c r="H53" s="1">
        <v>9</v>
      </c>
      <c r="I53" s="12" t="s">
        <v>27</v>
      </c>
      <c r="J53" s="12" t="s">
        <v>169</v>
      </c>
      <c r="K53" s="1">
        <v>100</v>
      </c>
      <c r="L53" s="1">
        <v>3</v>
      </c>
      <c r="M53" s="1">
        <v>0</v>
      </c>
      <c r="N53" s="1">
        <f t="shared" si="7"/>
        <v>18</v>
      </c>
      <c r="O53" s="1">
        <v>5</v>
      </c>
      <c r="P53" s="1">
        <v>6</v>
      </c>
      <c r="Q53" s="1">
        <f t="shared" si="4"/>
        <v>25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191</v>
      </c>
      <c r="G54" s="1">
        <v>10</v>
      </c>
      <c r="H54" s="1">
        <v>10</v>
      </c>
      <c r="I54" s="12" t="s">
        <v>31</v>
      </c>
      <c r="J54" s="12" t="s">
        <v>171</v>
      </c>
      <c r="K54" s="1">
        <v>100</v>
      </c>
      <c r="L54" s="1">
        <v>3</v>
      </c>
      <c r="M54" s="1">
        <v>0</v>
      </c>
      <c r="N54" s="1">
        <f t="shared" si="7"/>
        <v>18</v>
      </c>
      <c r="O54" s="1">
        <v>5</v>
      </c>
      <c r="P54" s="1">
        <v>6</v>
      </c>
      <c r="Q54" s="1">
        <f t="shared" si="4"/>
        <v>25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192</v>
      </c>
      <c r="G56" s="1">
        <v>1</v>
      </c>
      <c r="H56" s="1">
        <v>1</v>
      </c>
      <c r="I56" s="12" t="s">
        <v>24</v>
      </c>
      <c r="J56" s="12" t="s">
        <v>193</v>
      </c>
      <c r="K56" s="1">
        <v>100</v>
      </c>
      <c r="L56" s="1">
        <v>1</v>
      </c>
      <c r="M56" s="1">
        <v>0</v>
      </c>
      <c r="N56" s="1">
        <f>E56/10*3+1</f>
        <v>19</v>
      </c>
      <c r="O56" s="1">
        <v>5</v>
      </c>
      <c r="P56" s="1">
        <f>(E56/10+1)*2</f>
        <v>14</v>
      </c>
      <c r="Q56" s="1">
        <f t="shared" ref="Q56:Q79" si="8">E56/10*3+10</f>
        <v>28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194</v>
      </c>
      <c r="G57" s="1">
        <v>2</v>
      </c>
      <c r="H57" s="1">
        <v>2</v>
      </c>
      <c r="I57" s="12" t="s">
        <v>27</v>
      </c>
      <c r="J57" s="12" t="s">
        <v>193</v>
      </c>
      <c r="K57" s="1">
        <v>100</v>
      </c>
      <c r="L57" s="1">
        <v>1</v>
      </c>
      <c r="M57" s="1">
        <v>0</v>
      </c>
      <c r="N57" s="1">
        <f>E57/10*3+2</f>
        <v>20</v>
      </c>
      <c r="O57" s="1">
        <v>5</v>
      </c>
      <c r="P57" s="1">
        <f>(E57/10+1)*2</f>
        <v>14</v>
      </c>
      <c r="Q57" s="1">
        <f t="shared" si="8"/>
        <v>28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195</v>
      </c>
      <c r="G58" s="1">
        <v>3</v>
      </c>
      <c r="H58" s="1">
        <v>3</v>
      </c>
      <c r="I58" s="12" t="s">
        <v>24</v>
      </c>
      <c r="J58" s="12" t="s">
        <v>196</v>
      </c>
      <c r="K58" s="1">
        <v>100</v>
      </c>
      <c r="L58" s="1">
        <v>1</v>
      </c>
      <c r="M58" s="1">
        <v>0</v>
      </c>
      <c r="N58" s="1">
        <f t="shared" ref="N58:N63" si="9">E58/10*3+3</f>
        <v>21</v>
      </c>
      <c r="O58" s="1">
        <v>5</v>
      </c>
      <c r="P58" s="1">
        <f t="shared" ref="P58:P63" si="10">E58/10+1</f>
        <v>7</v>
      </c>
      <c r="Q58" s="1">
        <f t="shared" si="8"/>
        <v>28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197</v>
      </c>
      <c r="G59" s="1">
        <v>4</v>
      </c>
      <c r="H59" s="1">
        <v>4</v>
      </c>
      <c r="I59" s="12" t="s">
        <v>31</v>
      </c>
      <c r="J59" s="12" t="s">
        <v>198</v>
      </c>
      <c r="K59" s="1">
        <v>100</v>
      </c>
      <c r="L59" s="1">
        <v>1</v>
      </c>
      <c r="M59" s="1">
        <v>0</v>
      </c>
      <c r="N59" s="1">
        <f t="shared" si="9"/>
        <v>21</v>
      </c>
      <c r="O59" s="1">
        <v>5</v>
      </c>
      <c r="P59" s="1">
        <f t="shared" si="10"/>
        <v>7</v>
      </c>
      <c r="Q59" s="1">
        <f t="shared" si="8"/>
        <v>28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199</v>
      </c>
      <c r="G60" s="1">
        <v>5</v>
      </c>
      <c r="H60" s="12" t="s">
        <v>34</v>
      </c>
      <c r="I60" s="12" t="s">
        <v>31</v>
      </c>
      <c r="J60" s="12" t="s">
        <v>198</v>
      </c>
      <c r="K60" s="1">
        <v>100</v>
      </c>
      <c r="L60" s="1">
        <v>1</v>
      </c>
      <c r="M60" s="1">
        <v>0</v>
      </c>
      <c r="N60" s="1">
        <f t="shared" si="9"/>
        <v>21</v>
      </c>
      <c r="O60" s="1">
        <v>5</v>
      </c>
      <c r="P60" s="1">
        <f t="shared" si="10"/>
        <v>7</v>
      </c>
      <c r="Q60" s="1">
        <f t="shared" si="8"/>
        <v>28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200</v>
      </c>
      <c r="G61" s="1">
        <v>7</v>
      </c>
      <c r="H61" s="12" t="s">
        <v>36</v>
      </c>
      <c r="I61" s="12" t="s">
        <v>24</v>
      </c>
      <c r="J61" s="12" t="s">
        <v>196</v>
      </c>
      <c r="K61" s="1">
        <v>100</v>
      </c>
      <c r="L61" s="1">
        <v>1</v>
      </c>
      <c r="M61" s="1">
        <v>0</v>
      </c>
      <c r="N61" s="1">
        <f t="shared" si="9"/>
        <v>21</v>
      </c>
      <c r="O61" s="1">
        <v>5</v>
      </c>
      <c r="P61" s="1">
        <f t="shared" si="10"/>
        <v>7</v>
      </c>
      <c r="Q61" s="1">
        <f t="shared" si="8"/>
        <v>28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201</v>
      </c>
      <c r="G62" s="1">
        <v>9</v>
      </c>
      <c r="H62" s="1">
        <v>9</v>
      </c>
      <c r="I62" s="12" t="s">
        <v>27</v>
      </c>
      <c r="J62" s="12" t="s">
        <v>196</v>
      </c>
      <c r="K62" s="1">
        <v>100</v>
      </c>
      <c r="L62" s="1">
        <v>1</v>
      </c>
      <c r="M62" s="1">
        <v>0</v>
      </c>
      <c r="N62" s="1">
        <f t="shared" si="9"/>
        <v>21</v>
      </c>
      <c r="O62" s="1">
        <v>5</v>
      </c>
      <c r="P62" s="1">
        <f t="shared" si="10"/>
        <v>7</v>
      </c>
      <c r="Q62" s="1">
        <f t="shared" si="8"/>
        <v>28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202</v>
      </c>
      <c r="G63" s="1">
        <v>10</v>
      </c>
      <c r="H63" s="1">
        <v>10</v>
      </c>
      <c r="I63" s="12" t="s">
        <v>31</v>
      </c>
      <c r="J63" s="12" t="s">
        <v>198</v>
      </c>
      <c r="K63" s="1">
        <v>100</v>
      </c>
      <c r="L63" s="1">
        <v>1</v>
      </c>
      <c r="M63" s="1">
        <v>0</v>
      </c>
      <c r="N63" s="1">
        <f t="shared" si="9"/>
        <v>21</v>
      </c>
      <c r="O63" s="1">
        <v>5</v>
      </c>
      <c r="P63" s="1">
        <f t="shared" si="10"/>
        <v>7</v>
      </c>
      <c r="Q63" s="1">
        <f t="shared" si="8"/>
        <v>28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203</v>
      </c>
      <c r="G64" s="1">
        <v>1</v>
      </c>
      <c r="H64" s="1">
        <v>1</v>
      </c>
      <c r="I64" s="12" t="s">
        <v>40</v>
      </c>
      <c r="J64" s="12" t="s">
        <v>193</v>
      </c>
      <c r="K64" s="1">
        <v>100</v>
      </c>
      <c r="L64" s="1">
        <v>2</v>
      </c>
      <c r="M64" s="1">
        <v>0</v>
      </c>
      <c r="N64" s="1">
        <f>E64/10*3+1</f>
        <v>19</v>
      </c>
      <c r="O64" s="1">
        <v>5</v>
      </c>
      <c r="P64" s="1">
        <f>(E64/10+1)*2</f>
        <v>14</v>
      </c>
      <c r="Q64" s="1">
        <f t="shared" si="8"/>
        <v>28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204</v>
      </c>
      <c r="G65" s="1">
        <v>2</v>
      </c>
      <c r="H65" s="1">
        <v>2</v>
      </c>
      <c r="I65" s="12" t="s">
        <v>27</v>
      </c>
      <c r="J65" s="12" t="s">
        <v>193</v>
      </c>
      <c r="K65" s="1">
        <v>100</v>
      </c>
      <c r="L65" s="1">
        <v>2</v>
      </c>
      <c r="M65" s="1">
        <v>0</v>
      </c>
      <c r="N65" s="1">
        <f>E65/10*3+2</f>
        <v>20</v>
      </c>
      <c r="O65" s="1">
        <v>5</v>
      </c>
      <c r="P65" s="1">
        <f>(E65/10+1)*2</f>
        <v>14</v>
      </c>
      <c r="Q65" s="1">
        <f t="shared" si="8"/>
        <v>28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205</v>
      </c>
      <c r="G66" s="1">
        <v>3</v>
      </c>
      <c r="H66" s="1">
        <v>3</v>
      </c>
      <c r="I66" s="12" t="s">
        <v>40</v>
      </c>
      <c r="J66" s="12" t="s">
        <v>196</v>
      </c>
      <c r="K66" s="1">
        <v>100</v>
      </c>
      <c r="L66" s="1">
        <v>2</v>
      </c>
      <c r="M66" s="1">
        <v>0</v>
      </c>
      <c r="N66" s="1">
        <f t="shared" ref="N66:N71" si="11">E66/10*3+3</f>
        <v>21</v>
      </c>
      <c r="O66" s="1">
        <v>5</v>
      </c>
      <c r="P66" s="1">
        <f t="shared" ref="P66:P71" si="12">E66/10+1</f>
        <v>7</v>
      </c>
      <c r="Q66" s="1">
        <f t="shared" si="8"/>
        <v>28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206</v>
      </c>
      <c r="G67" s="1">
        <v>4</v>
      </c>
      <c r="H67" s="1">
        <v>4</v>
      </c>
      <c r="I67" s="12" t="s">
        <v>31</v>
      </c>
      <c r="J67" s="12" t="s">
        <v>198</v>
      </c>
      <c r="K67" s="1">
        <v>100</v>
      </c>
      <c r="L67" s="1">
        <v>2</v>
      </c>
      <c r="M67" s="1">
        <v>0</v>
      </c>
      <c r="N67" s="1">
        <f t="shared" si="11"/>
        <v>21</v>
      </c>
      <c r="O67" s="1">
        <v>5</v>
      </c>
      <c r="P67" s="1">
        <f t="shared" si="12"/>
        <v>7</v>
      </c>
      <c r="Q67" s="1">
        <f t="shared" si="8"/>
        <v>28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207</v>
      </c>
      <c r="G68" s="1">
        <v>5</v>
      </c>
      <c r="H68" s="12" t="s">
        <v>34</v>
      </c>
      <c r="I68" s="12" t="s">
        <v>31</v>
      </c>
      <c r="J68" s="12" t="s">
        <v>198</v>
      </c>
      <c r="K68" s="1">
        <v>100</v>
      </c>
      <c r="L68" s="1">
        <v>2</v>
      </c>
      <c r="M68" s="1">
        <v>0</v>
      </c>
      <c r="N68" s="1">
        <f t="shared" si="11"/>
        <v>21</v>
      </c>
      <c r="O68" s="1">
        <v>5</v>
      </c>
      <c r="P68" s="1">
        <f t="shared" si="12"/>
        <v>7</v>
      </c>
      <c r="Q68" s="1">
        <f t="shared" si="8"/>
        <v>28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208</v>
      </c>
      <c r="G69" s="1">
        <v>7</v>
      </c>
      <c r="H69" s="12" t="s">
        <v>36</v>
      </c>
      <c r="I69" s="12" t="s">
        <v>40</v>
      </c>
      <c r="J69" s="12" t="s">
        <v>196</v>
      </c>
      <c r="K69" s="1">
        <v>100</v>
      </c>
      <c r="L69" s="1">
        <v>2</v>
      </c>
      <c r="M69" s="1">
        <v>0</v>
      </c>
      <c r="N69" s="1">
        <f t="shared" si="11"/>
        <v>21</v>
      </c>
      <c r="O69" s="1">
        <v>5</v>
      </c>
      <c r="P69" s="1">
        <f t="shared" si="12"/>
        <v>7</v>
      </c>
      <c r="Q69" s="1">
        <f t="shared" si="8"/>
        <v>28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209</v>
      </c>
      <c r="G70" s="1">
        <v>9</v>
      </c>
      <c r="H70" s="1">
        <v>9</v>
      </c>
      <c r="I70" s="12" t="s">
        <v>27</v>
      </c>
      <c r="J70" s="12" t="s">
        <v>196</v>
      </c>
      <c r="K70" s="1">
        <v>100</v>
      </c>
      <c r="L70" s="1">
        <v>2</v>
      </c>
      <c r="M70" s="1">
        <v>0</v>
      </c>
      <c r="N70" s="1">
        <f t="shared" si="11"/>
        <v>21</v>
      </c>
      <c r="O70" s="1">
        <v>5</v>
      </c>
      <c r="P70" s="1">
        <f t="shared" si="12"/>
        <v>7</v>
      </c>
      <c r="Q70" s="1">
        <f t="shared" si="8"/>
        <v>28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210</v>
      </c>
      <c r="G71" s="1">
        <v>10</v>
      </c>
      <c r="H71" s="1">
        <v>10</v>
      </c>
      <c r="I71" s="12" t="s">
        <v>31</v>
      </c>
      <c r="J71" s="12" t="s">
        <v>198</v>
      </c>
      <c r="K71" s="1">
        <v>100</v>
      </c>
      <c r="L71" s="1">
        <v>2</v>
      </c>
      <c r="M71" s="1">
        <v>0</v>
      </c>
      <c r="N71" s="1">
        <f t="shared" si="11"/>
        <v>21</v>
      </c>
      <c r="O71" s="1">
        <v>5</v>
      </c>
      <c r="P71" s="1">
        <f t="shared" si="12"/>
        <v>7</v>
      </c>
      <c r="Q71" s="1">
        <f t="shared" si="8"/>
        <v>28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211</v>
      </c>
      <c r="G72" s="1">
        <v>1</v>
      </c>
      <c r="H72" s="1">
        <v>1</v>
      </c>
      <c r="I72" s="12" t="s">
        <v>49</v>
      </c>
      <c r="J72" s="12" t="s">
        <v>193</v>
      </c>
      <c r="K72" s="1">
        <v>100</v>
      </c>
      <c r="L72" s="1">
        <v>3</v>
      </c>
      <c r="M72" s="1">
        <v>0</v>
      </c>
      <c r="N72" s="1">
        <f>E72/10*3+1</f>
        <v>19</v>
      </c>
      <c r="O72" s="1">
        <v>5</v>
      </c>
      <c r="P72" s="1">
        <f>(E72/10+1)*2</f>
        <v>14</v>
      </c>
      <c r="Q72" s="1">
        <f t="shared" si="8"/>
        <v>28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212</v>
      </c>
      <c r="G73" s="1">
        <v>2</v>
      </c>
      <c r="H73" s="1">
        <v>2</v>
      </c>
      <c r="I73" s="12" t="s">
        <v>27</v>
      </c>
      <c r="J73" s="12" t="s">
        <v>193</v>
      </c>
      <c r="K73" s="1">
        <v>100</v>
      </c>
      <c r="L73" s="1">
        <v>3</v>
      </c>
      <c r="M73" s="1">
        <v>0</v>
      </c>
      <c r="N73" s="1">
        <f>E73/10*3+2</f>
        <v>20</v>
      </c>
      <c r="O73" s="1">
        <v>5</v>
      </c>
      <c r="P73" s="1">
        <f>(E73/10+1)*2</f>
        <v>14</v>
      </c>
      <c r="Q73" s="1">
        <f t="shared" si="8"/>
        <v>28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213</v>
      </c>
      <c r="G74" s="1">
        <v>3</v>
      </c>
      <c r="H74" s="1">
        <v>3</v>
      </c>
      <c r="I74" s="12" t="s">
        <v>49</v>
      </c>
      <c r="J74" s="12" t="s">
        <v>196</v>
      </c>
      <c r="K74" s="1">
        <v>100</v>
      </c>
      <c r="L74" s="1">
        <v>3</v>
      </c>
      <c r="M74" s="1">
        <v>0</v>
      </c>
      <c r="N74" s="1">
        <f t="shared" ref="N74:N79" si="13">E74/10*3+3</f>
        <v>21</v>
      </c>
      <c r="O74" s="1">
        <v>5</v>
      </c>
      <c r="P74" s="1">
        <f t="shared" ref="P74:P79" si="14">E74/10+1</f>
        <v>7</v>
      </c>
      <c r="Q74" s="1">
        <f t="shared" si="8"/>
        <v>28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214</v>
      </c>
      <c r="G75" s="1">
        <v>4</v>
      </c>
      <c r="H75" s="1">
        <v>4</v>
      </c>
      <c r="I75" s="12" t="s">
        <v>31</v>
      </c>
      <c r="J75" s="12" t="s">
        <v>198</v>
      </c>
      <c r="K75" s="1">
        <v>100</v>
      </c>
      <c r="L75" s="1">
        <v>3</v>
      </c>
      <c r="M75" s="1">
        <v>0</v>
      </c>
      <c r="N75" s="1">
        <f t="shared" si="13"/>
        <v>21</v>
      </c>
      <c r="O75" s="1">
        <v>5</v>
      </c>
      <c r="P75" s="1">
        <f t="shared" si="14"/>
        <v>7</v>
      </c>
      <c r="Q75" s="1">
        <f t="shared" si="8"/>
        <v>28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215</v>
      </c>
      <c r="G76" s="1">
        <v>5</v>
      </c>
      <c r="H76" s="12" t="s">
        <v>34</v>
      </c>
      <c r="I76" s="12" t="s">
        <v>31</v>
      </c>
      <c r="J76" s="12" t="s">
        <v>198</v>
      </c>
      <c r="K76" s="1">
        <v>100</v>
      </c>
      <c r="L76" s="1">
        <v>3</v>
      </c>
      <c r="M76" s="1">
        <v>0</v>
      </c>
      <c r="N76" s="1">
        <f t="shared" si="13"/>
        <v>21</v>
      </c>
      <c r="O76" s="1">
        <v>5</v>
      </c>
      <c r="P76" s="1">
        <f t="shared" si="14"/>
        <v>7</v>
      </c>
      <c r="Q76" s="1">
        <f t="shared" si="8"/>
        <v>28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216</v>
      </c>
      <c r="G77" s="1">
        <v>7</v>
      </c>
      <c r="H77" s="12" t="s">
        <v>36</v>
      </c>
      <c r="I77" s="12" t="s">
        <v>49</v>
      </c>
      <c r="J77" s="12" t="s">
        <v>196</v>
      </c>
      <c r="K77" s="1">
        <v>100</v>
      </c>
      <c r="L77" s="1">
        <v>3</v>
      </c>
      <c r="M77" s="1">
        <v>0</v>
      </c>
      <c r="N77" s="1">
        <f t="shared" si="13"/>
        <v>21</v>
      </c>
      <c r="O77" s="1">
        <v>5</v>
      </c>
      <c r="P77" s="1">
        <f t="shared" si="14"/>
        <v>7</v>
      </c>
      <c r="Q77" s="1">
        <f t="shared" si="8"/>
        <v>28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217</v>
      </c>
      <c r="G78" s="1">
        <v>9</v>
      </c>
      <c r="H78" s="1">
        <v>9</v>
      </c>
      <c r="I78" s="12" t="s">
        <v>27</v>
      </c>
      <c r="J78" s="12" t="s">
        <v>196</v>
      </c>
      <c r="K78" s="1">
        <v>100</v>
      </c>
      <c r="L78" s="1">
        <v>3</v>
      </c>
      <c r="M78" s="1">
        <v>0</v>
      </c>
      <c r="N78" s="1">
        <f t="shared" si="13"/>
        <v>21</v>
      </c>
      <c r="O78" s="1">
        <v>5</v>
      </c>
      <c r="P78" s="1">
        <f t="shared" si="14"/>
        <v>7</v>
      </c>
      <c r="Q78" s="1">
        <f t="shared" si="8"/>
        <v>28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218</v>
      </c>
      <c r="G79" s="1">
        <v>10</v>
      </c>
      <c r="H79" s="1">
        <v>10</v>
      </c>
      <c r="I79" s="12" t="s">
        <v>31</v>
      </c>
      <c r="J79" s="12" t="s">
        <v>198</v>
      </c>
      <c r="K79" s="1">
        <v>100</v>
      </c>
      <c r="L79" s="1">
        <v>3</v>
      </c>
      <c r="M79" s="1">
        <v>0</v>
      </c>
      <c r="N79" s="1">
        <f t="shared" si="13"/>
        <v>21</v>
      </c>
      <c r="O79" s="1">
        <v>5</v>
      </c>
      <c r="P79" s="1">
        <f t="shared" si="14"/>
        <v>7</v>
      </c>
      <c r="Q79" s="1">
        <f t="shared" si="8"/>
        <v>28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219</v>
      </c>
      <c r="G81" s="1">
        <v>1</v>
      </c>
      <c r="H81" s="1">
        <v>1</v>
      </c>
      <c r="I81" s="12" t="s">
        <v>24</v>
      </c>
      <c r="J81" s="12" t="s">
        <v>220</v>
      </c>
      <c r="K81" s="1">
        <v>100</v>
      </c>
      <c r="L81" s="1">
        <v>1</v>
      </c>
      <c r="M81" s="1">
        <v>0</v>
      </c>
      <c r="N81" s="1">
        <f>E81/10*3+1</f>
        <v>22</v>
      </c>
      <c r="O81" s="1">
        <v>5</v>
      </c>
      <c r="P81" s="1">
        <f>(E81/10+1)*2</f>
        <v>16</v>
      </c>
      <c r="Q81" s="1">
        <f t="shared" ref="Q81:Q104" si="15">E81/10*3+10</f>
        <v>31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221</v>
      </c>
      <c r="G82" s="1">
        <v>2</v>
      </c>
      <c r="H82" s="1">
        <v>2</v>
      </c>
      <c r="I82" s="12" t="s">
        <v>27</v>
      </c>
      <c r="J82" s="12" t="s">
        <v>220</v>
      </c>
      <c r="K82" s="1">
        <v>100</v>
      </c>
      <c r="L82" s="1">
        <v>1</v>
      </c>
      <c r="M82" s="1">
        <v>0</v>
      </c>
      <c r="N82" s="1">
        <f>E82/10*3+2</f>
        <v>23</v>
      </c>
      <c r="O82" s="1">
        <v>5</v>
      </c>
      <c r="P82" s="1">
        <f>(E82/10+1)*2</f>
        <v>16</v>
      </c>
      <c r="Q82" s="1">
        <f t="shared" si="15"/>
        <v>31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222</v>
      </c>
      <c r="G83" s="1">
        <v>3</v>
      </c>
      <c r="H83" s="1">
        <v>3</v>
      </c>
      <c r="I83" s="12" t="s">
        <v>24</v>
      </c>
      <c r="J83" s="12" t="s">
        <v>223</v>
      </c>
      <c r="K83" s="1">
        <v>100</v>
      </c>
      <c r="L83" s="1">
        <v>1</v>
      </c>
      <c r="M83" s="1">
        <v>0</v>
      </c>
      <c r="N83" s="1">
        <f t="shared" ref="N83:N88" si="16">E83/10*3+3</f>
        <v>24</v>
      </c>
      <c r="O83" s="1">
        <v>5</v>
      </c>
      <c r="P83" s="1">
        <f t="shared" ref="P83:P88" si="17">E83/10+1</f>
        <v>8</v>
      </c>
      <c r="Q83" s="1">
        <f t="shared" si="15"/>
        <v>31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224</v>
      </c>
      <c r="G84" s="1">
        <v>4</v>
      </c>
      <c r="H84" s="1">
        <v>4</v>
      </c>
      <c r="I84" s="12" t="s">
        <v>31</v>
      </c>
      <c r="J84" s="12" t="s">
        <v>225</v>
      </c>
      <c r="K84" s="1">
        <v>100</v>
      </c>
      <c r="L84" s="1">
        <v>1</v>
      </c>
      <c r="M84" s="1">
        <v>0</v>
      </c>
      <c r="N84" s="1">
        <f t="shared" si="16"/>
        <v>24</v>
      </c>
      <c r="O84" s="1">
        <v>5</v>
      </c>
      <c r="P84" s="1">
        <f t="shared" si="17"/>
        <v>8</v>
      </c>
      <c r="Q84" s="1">
        <f t="shared" si="15"/>
        <v>31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226</v>
      </c>
      <c r="G85" s="1">
        <v>5</v>
      </c>
      <c r="H85" s="12" t="s">
        <v>34</v>
      </c>
      <c r="I85" s="12" t="s">
        <v>31</v>
      </c>
      <c r="J85" s="12" t="s">
        <v>225</v>
      </c>
      <c r="K85" s="1">
        <v>100</v>
      </c>
      <c r="L85" s="1">
        <v>1</v>
      </c>
      <c r="M85" s="1">
        <v>0</v>
      </c>
      <c r="N85" s="1">
        <f t="shared" si="16"/>
        <v>24</v>
      </c>
      <c r="O85" s="1">
        <v>5</v>
      </c>
      <c r="P85" s="1">
        <f t="shared" si="17"/>
        <v>8</v>
      </c>
      <c r="Q85" s="1">
        <f t="shared" si="15"/>
        <v>31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227</v>
      </c>
      <c r="G86" s="1">
        <v>7</v>
      </c>
      <c r="H86" s="12" t="s">
        <v>36</v>
      </c>
      <c r="I86" s="12" t="s">
        <v>24</v>
      </c>
      <c r="J86" s="12" t="s">
        <v>223</v>
      </c>
      <c r="K86" s="1">
        <v>100</v>
      </c>
      <c r="L86" s="1">
        <v>1</v>
      </c>
      <c r="M86" s="1">
        <v>0</v>
      </c>
      <c r="N86" s="1">
        <f t="shared" si="16"/>
        <v>24</v>
      </c>
      <c r="O86" s="1">
        <v>5</v>
      </c>
      <c r="P86" s="1">
        <f t="shared" si="17"/>
        <v>8</v>
      </c>
      <c r="Q86" s="1">
        <f t="shared" si="15"/>
        <v>31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228</v>
      </c>
      <c r="G87" s="1">
        <v>9</v>
      </c>
      <c r="H87" s="1">
        <v>9</v>
      </c>
      <c r="I87" s="12" t="s">
        <v>27</v>
      </c>
      <c r="J87" s="12" t="s">
        <v>223</v>
      </c>
      <c r="K87" s="1">
        <v>100</v>
      </c>
      <c r="L87" s="1">
        <v>1</v>
      </c>
      <c r="M87" s="1">
        <v>0</v>
      </c>
      <c r="N87" s="1">
        <f t="shared" si="16"/>
        <v>24</v>
      </c>
      <c r="O87" s="1">
        <v>5</v>
      </c>
      <c r="P87" s="1">
        <f t="shared" si="17"/>
        <v>8</v>
      </c>
      <c r="Q87" s="1">
        <f t="shared" si="15"/>
        <v>31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229</v>
      </c>
      <c r="G88" s="1">
        <v>10</v>
      </c>
      <c r="H88" s="1">
        <v>10</v>
      </c>
      <c r="I88" s="12" t="s">
        <v>31</v>
      </c>
      <c r="J88" s="12" t="s">
        <v>225</v>
      </c>
      <c r="K88" s="1">
        <v>100</v>
      </c>
      <c r="L88" s="1">
        <v>1</v>
      </c>
      <c r="M88" s="1">
        <v>0</v>
      </c>
      <c r="N88" s="1">
        <f t="shared" si="16"/>
        <v>24</v>
      </c>
      <c r="O88" s="1">
        <v>5</v>
      </c>
      <c r="P88" s="1">
        <f t="shared" si="17"/>
        <v>8</v>
      </c>
      <c r="Q88" s="1">
        <f t="shared" si="15"/>
        <v>31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230</v>
      </c>
      <c r="G89" s="1">
        <v>1</v>
      </c>
      <c r="H89" s="1">
        <v>1</v>
      </c>
      <c r="I89" s="12" t="s">
        <v>40</v>
      </c>
      <c r="J89" s="12" t="s">
        <v>220</v>
      </c>
      <c r="K89" s="1">
        <v>100</v>
      </c>
      <c r="L89" s="1">
        <v>2</v>
      </c>
      <c r="M89" s="1">
        <v>0</v>
      </c>
      <c r="N89" s="1">
        <f>E89/10*3+1</f>
        <v>22</v>
      </c>
      <c r="O89" s="1">
        <v>5</v>
      </c>
      <c r="P89" s="1">
        <f>(E89/10+1)*2</f>
        <v>16</v>
      </c>
      <c r="Q89" s="1">
        <f t="shared" si="15"/>
        <v>31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231</v>
      </c>
      <c r="G90" s="1">
        <v>2</v>
      </c>
      <c r="H90" s="1">
        <v>2</v>
      </c>
      <c r="I90" s="12" t="s">
        <v>27</v>
      </c>
      <c r="J90" s="12" t="s">
        <v>220</v>
      </c>
      <c r="K90" s="1">
        <v>100</v>
      </c>
      <c r="L90" s="1">
        <v>2</v>
      </c>
      <c r="M90" s="1">
        <v>0</v>
      </c>
      <c r="N90" s="1">
        <f>E90/10*3+2</f>
        <v>23</v>
      </c>
      <c r="O90" s="1">
        <v>5</v>
      </c>
      <c r="P90" s="1">
        <f>(E90/10+1)*2</f>
        <v>16</v>
      </c>
      <c r="Q90" s="1">
        <f t="shared" si="15"/>
        <v>31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232</v>
      </c>
      <c r="G91" s="1">
        <v>3</v>
      </c>
      <c r="H91" s="1">
        <v>3</v>
      </c>
      <c r="I91" s="12" t="s">
        <v>40</v>
      </c>
      <c r="J91" s="12" t="s">
        <v>223</v>
      </c>
      <c r="K91" s="1">
        <v>100</v>
      </c>
      <c r="L91" s="1">
        <v>2</v>
      </c>
      <c r="M91" s="1">
        <v>0</v>
      </c>
      <c r="N91" s="1">
        <f t="shared" ref="N91:N96" si="18">E91/10*3+3</f>
        <v>24</v>
      </c>
      <c r="O91" s="1">
        <v>5</v>
      </c>
      <c r="P91" s="1">
        <f t="shared" ref="P91:P96" si="19">E91/10+1</f>
        <v>8</v>
      </c>
      <c r="Q91" s="1">
        <f t="shared" si="15"/>
        <v>31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233</v>
      </c>
      <c r="G92" s="1">
        <v>4</v>
      </c>
      <c r="H92" s="1">
        <v>4</v>
      </c>
      <c r="I92" s="12" t="s">
        <v>31</v>
      </c>
      <c r="J92" s="12" t="s">
        <v>225</v>
      </c>
      <c r="K92" s="1">
        <v>100</v>
      </c>
      <c r="L92" s="1">
        <v>2</v>
      </c>
      <c r="M92" s="1">
        <v>0</v>
      </c>
      <c r="N92" s="1">
        <f t="shared" si="18"/>
        <v>24</v>
      </c>
      <c r="O92" s="1">
        <v>5</v>
      </c>
      <c r="P92" s="1">
        <f t="shared" si="19"/>
        <v>8</v>
      </c>
      <c r="Q92" s="1">
        <f t="shared" si="15"/>
        <v>31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234</v>
      </c>
      <c r="G93" s="1">
        <v>5</v>
      </c>
      <c r="H93" s="12" t="s">
        <v>34</v>
      </c>
      <c r="I93" s="12" t="s">
        <v>31</v>
      </c>
      <c r="J93" s="12" t="s">
        <v>225</v>
      </c>
      <c r="K93" s="1">
        <v>100</v>
      </c>
      <c r="L93" s="1">
        <v>2</v>
      </c>
      <c r="M93" s="1">
        <v>0</v>
      </c>
      <c r="N93" s="1">
        <f t="shared" si="18"/>
        <v>24</v>
      </c>
      <c r="O93" s="1">
        <v>5</v>
      </c>
      <c r="P93" s="1">
        <f t="shared" si="19"/>
        <v>8</v>
      </c>
      <c r="Q93" s="1">
        <f t="shared" si="15"/>
        <v>31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235</v>
      </c>
      <c r="G94" s="1">
        <v>7</v>
      </c>
      <c r="H94" s="12" t="s">
        <v>36</v>
      </c>
      <c r="I94" s="12" t="s">
        <v>40</v>
      </c>
      <c r="J94" s="12" t="s">
        <v>223</v>
      </c>
      <c r="K94" s="1">
        <v>100</v>
      </c>
      <c r="L94" s="1">
        <v>2</v>
      </c>
      <c r="M94" s="1">
        <v>0</v>
      </c>
      <c r="N94" s="1">
        <f t="shared" si="18"/>
        <v>24</v>
      </c>
      <c r="O94" s="1">
        <v>5</v>
      </c>
      <c r="P94" s="1">
        <f t="shared" si="19"/>
        <v>8</v>
      </c>
      <c r="Q94" s="1">
        <f t="shared" si="15"/>
        <v>31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236</v>
      </c>
      <c r="G95" s="1">
        <v>9</v>
      </c>
      <c r="H95" s="1">
        <v>9</v>
      </c>
      <c r="I95" s="12" t="s">
        <v>27</v>
      </c>
      <c r="J95" s="12" t="s">
        <v>223</v>
      </c>
      <c r="K95" s="1">
        <v>100</v>
      </c>
      <c r="L95" s="1">
        <v>2</v>
      </c>
      <c r="M95" s="1">
        <v>0</v>
      </c>
      <c r="N95" s="1">
        <f t="shared" si="18"/>
        <v>24</v>
      </c>
      <c r="O95" s="1">
        <v>5</v>
      </c>
      <c r="P95" s="1">
        <f t="shared" si="19"/>
        <v>8</v>
      </c>
      <c r="Q95" s="1">
        <f t="shared" si="15"/>
        <v>31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237</v>
      </c>
      <c r="G96" s="1">
        <v>10</v>
      </c>
      <c r="H96" s="1">
        <v>10</v>
      </c>
      <c r="I96" s="12" t="s">
        <v>31</v>
      </c>
      <c r="J96" s="12" t="s">
        <v>225</v>
      </c>
      <c r="K96" s="1">
        <v>100</v>
      </c>
      <c r="L96" s="1">
        <v>2</v>
      </c>
      <c r="M96" s="1">
        <v>0</v>
      </c>
      <c r="N96" s="1">
        <f t="shared" si="18"/>
        <v>24</v>
      </c>
      <c r="O96" s="1">
        <v>5</v>
      </c>
      <c r="P96" s="1">
        <f t="shared" si="19"/>
        <v>8</v>
      </c>
      <c r="Q96" s="1">
        <f t="shared" si="15"/>
        <v>31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238</v>
      </c>
      <c r="G97" s="1">
        <v>1</v>
      </c>
      <c r="H97" s="1">
        <v>1</v>
      </c>
      <c r="I97" s="12" t="s">
        <v>49</v>
      </c>
      <c r="J97" s="12" t="s">
        <v>220</v>
      </c>
      <c r="K97" s="1">
        <v>100</v>
      </c>
      <c r="L97" s="1">
        <v>3</v>
      </c>
      <c r="M97" s="1">
        <v>0</v>
      </c>
      <c r="N97" s="1">
        <f>E97/10*3+1</f>
        <v>22</v>
      </c>
      <c r="O97" s="1">
        <v>5</v>
      </c>
      <c r="P97" s="1">
        <f>(E97/10+1)*2</f>
        <v>16</v>
      </c>
      <c r="Q97" s="1">
        <f t="shared" si="15"/>
        <v>31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239</v>
      </c>
      <c r="G98" s="1">
        <v>2</v>
      </c>
      <c r="H98" s="1">
        <v>2</v>
      </c>
      <c r="I98" s="12" t="s">
        <v>27</v>
      </c>
      <c r="J98" s="12" t="s">
        <v>220</v>
      </c>
      <c r="K98" s="1">
        <v>100</v>
      </c>
      <c r="L98" s="1">
        <v>3</v>
      </c>
      <c r="M98" s="1">
        <v>0</v>
      </c>
      <c r="N98" s="1">
        <f>E98/10*3+2</f>
        <v>23</v>
      </c>
      <c r="O98" s="1">
        <v>5</v>
      </c>
      <c r="P98" s="1">
        <f>(E98/10+1)*2</f>
        <v>16</v>
      </c>
      <c r="Q98" s="1">
        <f t="shared" si="15"/>
        <v>31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240</v>
      </c>
      <c r="G99" s="1">
        <v>3</v>
      </c>
      <c r="H99" s="1">
        <v>3</v>
      </c>
      <c r="I99" s="12" t="s">
        <v>49</v>
      </c>
      <c r="J99" s="12" t="s">
        <v>223</v>
      </c>
      <c r="K99" s="1">
        <v>100</v>
      </c>
      <c r="L99" s="1">
        <v>3</v>
      </c>
      <c r="M99" s="1">
        <v>0</v>
      </c>
      <c r="N99" s="1">
        <f t="shared" ref="N99:N104" si="20">E99/10*3+3</f>
        <v>24</v>
      </c>
      <c r="O99" s="1">
        <v>5</v>
      </c>
      <c r="P99" s="1">
        <f t="shared" ref="P99:P104" si="21">E99/10+1</f>
        <v>8</v>
      </c>
      <c r="Q99" s="1">
        <f t="shared" si="15"/>
        <v>31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241</v>
      </c>
      <c r="G100" s="1">
        <v>4</v>
      </c>
      <c r="H100" s="1">
        <v>4</v>
      </c>
      <c r="I100" s="12" t="s">
        <v>31</v>
      </c>
      <c r="J100" s="12" t="s">
        <v>225</v>
      </c>
      <c r="K100" s="1">
        <v>100</v>
      </c>
      <c r="L100" s="1">
        <v>3</v>
      </c>
      <c r="M100" s="1">
        <v>0</v>
      </c>
      <c r="N100" s="1">
        <f t="shared" si="20"/>
        <v>24</v>
      </c>
      <c r="O100" s="1">
        <v>5</v>
      </c>
      <c r="P100" s="1">
        <f t="shared" si="21"/>
        <v>8</v>
      </c>
      <c r="Q100" s="1">
        <f t="shared" si="15"/>
        <v>31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242</v>
      </c>
      <c r="G101" s="1">
        <v>5</v>
      </c>
      <c r="H101" s="12" t="s">
        <v>34</v>
      </c>
      <c r="I101" s="12" t="s">
        <v>31</v>
      </c>
      <c r="J101" s="12" t="s">
        <v>225</v>
      </c>
      <c r="K101" s="1">
        <v>100</v>
      </c>
      <c r="L101" s="1">
        <v>3</v>
      </c>
      <c r="M101" s="1">
        <v>0</v>
      </c>
      <c r="N101" s="1">
        <f t="shared" si="20"/>
        <v>24</v>
      </c>
      <c r="O101" s="1">
        <v>5</v>
      </c>
      <c r="P101" s="1">
        <f t="shared" si="21"/>
        <v>8</v>
      </c>
      <c r="Q101" s="1">
        <f t="shared" si="15"/>
        <v>31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243</v>
      </c>
      <c r="G102" s="1">
        <v>7</v>
      </c>
      <c r="H102" s="12" t="s">
        <v>36</v>
      </c>
      <c r="I102" s="12" t="s">
        <v>49</v>
      </c>
      <c r="J102" s="12" t="s">
        <v>223</v>
      </c>
      <c r="K102" s="1">
        <v>100</v>
      </c>
      <c r="L102" s="1">
        <v>3</v>
      </c>
      <c r="M102" s="1">
        <v>0</v>
      </c>
      <c r="N102" s="1">
        <f t="shared" si="20"/>
        <v>24</v>
      </c>
      <c r="O102" s="1">
        <v>5</v>
      </c>
      <c r="P102" s="1">
        <f t="shared" si="21"/>
        <v>8</v>
      </c>
      <c r="Q102" s="1">
        <f t="shared" si="15"/>
        <v>31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244</v>
      </c>
      <c r="G103" s="1">
        <v>9</v>
      </c>
      <c r="H103" s="1">
        <v>9</v>
      </c>
      <c r="I103" s="12" t="s">
        <v>27</v>
      </c>
      <c r="J103" s="12" t="s">
        <v>223</v>
      </c>
      <c r="K103" s="1">
        <v>100</v>
      </c>
      <c r="L103" s="1">
        <v>3</v>
      </c>
      <c r="M103" s="1">
        <v>0</v>
      </c>
      <c r="N103" s="1">
        <f t="shared" si="20"/>
        <v>24</v>
      </c>
      <c r="O103" s="1">
        <v>5</v>
      </c>
      <c r="P103" s="1">
        <f t="shared" si="21"/>
        <v>8</v>
      </c>
      <c r="Q103" s="1">
        <f t="shared" si="15"/>
        <v>31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245</v>
      </c>
      <c r="G104" s="1">
        <v>10</v>
      </c>
      <c r="H104" s="1">
        <v>10</v>
      </c>
      <c r="I104" s="12" t="s">
        <v>31</v>
      </c>
      <c r="J104" s="12" t="s">
        <v>225</v>
      </c>
      <c r="K104" s="1">
        <v>100</v>
      </c>
      <c r="L104" s="1">
        <v>3</v>
      </c>
      <c r="M104" s="1">
        <v>0</v>
      </c>
      <c r="N104" s="1">
        <f t="shared" si="20"/>
        <v>24</v>
      </c>
      <c r="O104" s="1">
        <v>5</v>
      </c>
      <c r="P104" s="1">
        <f t="shared" si="21"/>
        <v>8</v>
      </c>
      <c r="Q104" s="1">
        <f t="shared" si="15"/>
        <v>31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65" workbookViewId="0">
      <selection activeCell="T89" sqref="T89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246</v>
      </c>
      <c r="G6" s="1">
        <v>1</v>
      </c>
      <c r="H6" s="1">
        <v>1</v>
      </c>
      <c r="I6" s="12" t="s">
        <v>24</v>
      </c>
      <c r="J6" s="12" t="s">
        <v>247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">
        <v>10</v>
      </c>
      <c r="Q6" s="1">
        <f t="shared" ref="Q6:Q29" si="1">E6/10*3+10</f>
        <v>34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248</v>
      </c>
      <c r="G7" s="1">
        <v>2</v>
      </c>
      <c r="H7" s="1">
        <v>2</v>
      </c>
      <c r="I7" s="12" t="s">
        <v>27</v>
      </c>
      <c r="J7" s="12" t="s">
        <v>247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">
        <v>10</v>
      </c>
      <c r="Q7" s="1">
        <f t="shared" si="1"/>
        <v>34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249</v>
      </c>
      <c r="G8" s="1">
        <v>3</v>
      </c>
      <c r="H8" s="1">
        <v>3</v>
      </c>
      <c r="I8" s="12" t="s">
        <v>24</v>
      </c>
      <c r="J8" s="12" t="s">
        <v>250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">
        <v>5</v>
      </c>
      <c r="Q8" s="1">
        <f t="shared" si="1"/>
        <v>34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251</v>
      </c>
      <c r="G9" s="1">
        <v>4</v>
      </c>
      <c r="H9" s="1">
        <v>4</v>
      </c>
      <c r="I9" s="12" t="s">
        <v>31</v>
      </c>
      <c r="J9" s="12" t="s">
        <v>252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">
        <v>5</v>
      </c>
      <c r="Q9" s="1">
        <f t="shared" si="1"/>
        <v>34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253</v>
      </c>
      <c r="G10" s="1">
        <v>5</v>
      </c>
      <c r="H10" s="12" t="s">
        <v>34</v>
      </c>
      <c r="I10" s="12" t="s">
        <v>31</v>
      </c>
      <c r="J10" s="12" t="s">
        <v>252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">
        <v>5</v>
      </c>
      <c r="Q10" s="1">
        <f t="shared" si="1"/>
        <v>34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254</v>
      </c>
      <c r="G11" s="1">
        <v>7</v>
      </c>
      <c r="H11" s="12" t="s">
        <v>36</v>
      </c>
      <c r="I11" s="12" t="s">
        <v>24</v>
      </c>
      <c r="J11" s="12" t="s">
        <v>250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">
        <v>5</v>
      </c>
      <c r="Q11" s="1">
        <f t="shared" si="1"/>
        <v>34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255</v>
      </c>
      <c r="G12" s="1">
        <v>9</v>
      </c>
      <c r="H12" s="1">
        <v>9</v>
      </c>
      <c r="I12" s="12" t="s">
        <v>27</v>
      </c>
      <c r="J12" s="12" t="s">
        <v>250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">
        <v>5</v>
      </c>
      <c r="Q12" s="1">
        <f t="shared" si="1"/>
        <v>34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256</v>
      </c>
      <c r="G13" s="1">
        <v>10</v>
      </c>
      <c r="H13" s="1">
        <v>10</v>
      </c>
      <c r="I13" s="12" t="s">
        <v>31</v>
      </c>
      <c r="J13" s="12" t="s">
        <v>252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">
        <v>5</v>
      </c>
      <c r="Q13" s="1">
        <f t="shared" si="1"/>
        <v>34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257</v>
      </c>
      <c r="G14" s="1">
        <v>1</v>
      </c>
      <c r="H14" s="1">
        <v>1</v>
      </c>
      <c r="I14" s="12" t="s">
        <v>40</v>
      </c>
      <c r="J14" s="12" t="s">
        <v>247</v>
      </c>
      <c r="K14" s="1">
        <v>100</v>
      </c>
      <c r="L14" s="1">
        <v>2</v>
      </c>
      <c r="M14" s="1">
        <v>0</v>
      </c>
      <c r="N14" s="1">
        <f t="shared" ref="N14:N21" si="2">E14/10*3+2</f>
        <v>26</v>
      </c>
      <c r="O14" s="1">
        <v>5</v>
      </c>
      <c r="P14" s="1">
        <v>10</v>
      </c>
      <c r="Q14" s="1">
        <f t="shared" si="1"/>
        <v>34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258</v>
      </c>
      <c r="G15" s="1">
        <v>2</v>
      </c>
      <c r="H15" s="1">
        <v>2</v>
      </c>
      <c r="I15" s="12" t="s">
        <v>27</v>
      </c>
      <c r="J15" s="12" t="s">
        <v>247</v>
      </c>
      <c r="K15" s="1">
        <v>100</v>
      </c>
      <c r="L15" s="1">
        <v>2</v>
      </c>
      <c r="M15" s="1">
        <v>0</v>
      </c>
      <c r="N15" s="1">
        <f t="shared" si="2"/>
        <v>26</v>
      </c>
      <c r="O15" s="1">
        <v>5</v>
      </c>
      <c r="P15" s="1">
        <v>10</v>
      </c>
      <c r="Q15" s="1">
        <f t="shared" si="1"/>
        <v>34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259</v>
      </c>
      <c r="G16" s="1">
        <v>3</v>
      </c>
      <c r="H16" s="1">
        <v>3</v>
      </c>
      <c r="I16" s="12" t="s">
        <v>40</v>
      </c>
      <c r="J16" s="12" t="s">
        <v>250</v>
      </c>
      <c r="K16" s="1">
        <v>100</v>
      </c>
      <c r="L16" s="1">
        <v>2</v>
      </c>
      <c r="M16" s="1">
        <v>0</v>
      </c>
      <c r="N16" s="1">
        <f t="shared" si="2"/>
        <v>26</v>
      </c>
      <c r="O16" s="1">
        <v>5</v>
      </c>
      <c r="P16" s="1">
        <v>5</v>
      </c>
      <c r="Q16" s="1">
        <f t="shared" si="1"/>
        <v>34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260</v>
      </c>
      <c r="G17" s="1">
        <v>4</v>
      </c>
      <c r="H17" s="1">
        <v>4</v>
      </c>
      <c r="I17" s="12" t="s">
        <v>31</v>
      </c>
      <c r="J17" s="12" t="s">
        <v>252</v>
      </c>
      <c r="K17" s="1">
        <v>100</v>
      </c>
      <c r="L17" s="1">
        <v>2</v>
      </c>
      <c r="M17" s="1">
        <v>0</v>
      </c>
      <c r="N17" s="1">
        <f t="shared" si="2"/>
        <v>26</v>
      </c>
      <c r="O17" s="1">
        <v>5</v>
      </c>
      <c r="P17" s="1">
        <v>5</v>
      </c>
      <c r="Q17" s="1">
        <f t="shared" si="1"/>
        <v>34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261</v>
      </c>
      <c r="G18" s="1">
        <v>5</v>
      </c>
      <c r="H18" s="12" t="s">
        <v>34</v>
      </c>
      <c r="I18" s="12" t="s">
        <v>31</v>
      </c>
      <c r="J18" s="12" t="s">
        <v>252</v>
      </c>
      <c r="K18" s="1">
        <v>100</v>
      </c>
      <c r="L18" s="1">
        <v>2</v>
      </c>
      <c r="M18" s="1">
        <v>0</v>
      </c>
      <c r="N18" s="1">
        <f t="shared" si="2"/>
        <v>26</v>
      </c>
      <c r="O18" s="1">
        <v>5</v>
      </c>
      <c r="P18" s="1">
        <v>5</v>
      </c>
      <c r="Q18" s="1">
        <f t="shared" si="1"/>
        <v>34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262</v>
      </c>
      <c r="G19" s="1">
        <v>7</v>
      </c>
      <c r="H19" s="12" t="s">
        <v>36</v>
      </c>
      <c r="I19" s="12" t="s">
        <v>40</v>
      </c>
      <c r="J19" s="12" t="s">
        <v>250</v>
      </c>
      <c r="K19" s="1">
        <v>100</v>
      </c>
      <c r="L19" s="1">
        <v>2</v>
      </c>
      <c r="M19" s="1">
        <v>0</v>
      </c>
      <c r="N19" s="1">
        <f t="shared" si="2"/>
        <v>26</v>
      </c>
      <c r="O19" s="1">
        <v>5</v>
      </c>
      <c r="P19" s="1">
        <v>5</v>
      </c>
      <c r="Q19" s="1">
        <f t="shared" si="1"/>
        <v>34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263</v>
      </c>
      <c r="G20" s="1">
        <v>9</v>
      </c>
      <c r="H20" s="1">
        <v>9</v>
      </c>
      <c r="I20" s="12" t="s">
        <v>27</v>
      </c>
      <c r="J20" s="12" t="s">
        <v>250</v>
      </c>
      <c r="K20" s="1">
        <v>100</v>
      </c>
      <c r="L20" s="1">
        <v>2</v>
      </c>
      <c r="M20" s="1">
        <v>0</v>
      </c>
      <c r="N20" s="1">
        <f t="shared" si="2"/>
        <v>26</v>
      </c>
      <c r="O20" s="1">
        <v>5</v>
      </c>
      <c r="P20" s="1">
        <v>5</v>
      </c>
      <c r="Q20" s="1">
        <f t="shared" si="1"/>
        <v>34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264</v>
      </c>
      <c r="G21" s="1">
        <v>10</v>
      </c>
      <c r="H21" s="1">
        <v>10</v>
      </c>
      <c r="I21" s="12" t="s">
        <v>31</v>
      </c>
      <c r="J21" s="12" t="s">
        <v>252</v>
      </c>
      <c r="K21" s="1">
        <v>100</v>
      </c>
      <c r="L21" s="1">
        <v>2</v>
      </c>
      <c r="M21" s="1">
        <v>0</v>
      </c>
      <c r="N21" s="1">
        <f t="shared" si="2"/>
        <v>26</v>
      </c>
      <c r="O21" s="1">
        <v>5</v>
      </c>
      <c r="P21" s="1">
        <v>5</v>
      </c>
      <c r="Q21" s="1">
        <f t="shared" si="1"/>
        <v>34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265</v>
      </c>
      <c r="G22" s="1">
        <v>1</v>
      </c>
      <c r="H22" s="1">
        <v>1</v>
      </c>
      <c r="I22" s="12" t="s">
        <v>49</v>
      </c>
      <c r="J22" s="12" t="s">
        <v>247</v>
      </c>
      <c r="K22" s="1">
        <v>100</v>
      </c>
      <c r="L22" s="1">
        <v>3</v>
      </c>
      <c r="M22" s="1">
        <v>0</v>
      </c>
      <c r="N22" s="1">
        <f t="shared" ref="N22:N29" si="3">E22/10*3+3</f>
        <v>27</v>
      </c>
      <c r="O22" s="1">
        <v>5</v>
      </c>
      <c r="P22" s="1">
        <v>10</v>
      </c>
      <c r="Q22" s="1">
        <f t="shared" si="1"/>
        <v>34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266</v>
      </c>
      <c r="G23" s="1">
        <v>2</v>
      </c>
      <c r="H23" s="1">
        <v>2</v>
      </c>
      <c r="I23" s="12" t="s">
        <v>27</v>
      </c>
      <c r="J23" s="12" t="s">
        <v>247</v>
      </c>
      <c r="K23" s="1">
        <v>100</v>
      </c>
      <c r="L23" s="1">
        <v>3</v>
      </c>
      <c r="M23" s="1">
        <v>0</v>
      </c>
      <c r="N23" s="1">
        <f t="shared" si="3"/>
        <v>27</v>
      </c>
      <c r="O23" s="1">
        <v>5</v>
      </c>
      <c r="P23" s="1">
        <v>10</v>
      </c>
      <c r="Q23" s="1">
        <f t="shared" si="1"/>
        <v>34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267</v>
      </c>
      <c r="G24" s="1">
        <v>3</v>
      </c>
      <c r="H24" s="1">
        <v>3</v>
      </c>
      <c r="I24" s="12" t="s">
        <v>49</v>
      </c>
      <c r="J24" s="12" t="s">
        <v>250</v>
      </c>
      <c r="K24" s="1">
        <v>100</v>
      </c>
      <c r="L24" s="1">
        <v>3</v>
      </c>
      <c r="M24" s="1">
        <v>0</v>
      </c>
      <c r="N24" s="1">
        <f t="shared" si="3"/>
        <v>27</v>
      </c>
      <c r="O24" s="1">
        <v>5</v>
      </c>
      <c r="P24" s="1">
        <v>5</v>
      </c>
      <c r="Q24" s="1">
        <f t="shared" si="1"/>
        <v>34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268</v>
      </c>
      <c r="G25" s="1">
        <v>4</v>
      </c>
      <c r="H25" s="1">
        <v>4</v>
      </c>
      <c r="I25" s="12" t="s">
        <v>31</v>
      </c>
      <c r="J25" s="12" t="s">
        <v>252</v>
      </c>
      <c r="K25" s="1">
        <v>100</v>
      </c>
      <c r="L25" s="1">
        <v>3</v>
      </c>
      <c r="M25" s="1">
        <v>0</v>
      </c>
      <c r="N25" s="1">
        <f t="shared" si="3"/>
        <v>27</v>
      </c>
      <c r="O25" s="1">
        <v>5</v>
      </c>
      <c r="P25" s="1">
        <v>5</v>
      </c>
      <c r="Q25" s="1">
        <f t="shared" si="1"/>
        <v>34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269</v>
      </c>
      <c r="G26" s="1">
        <v>5</v>
      </c>
      <c r="H26" s="12" t="s">
        <v>34</v>
      </c>
      <c r="I26" s="12" t="s">
        <v>31</v>
      </c>
      <c r="J26" s="12" t="s">
        <v>252</v>
      </c>
      <c r="K26" s="1">
        <v>100</v>
      </c>
      <c r="L26" s="1">
        <v>3</v>
      </c>
      <c r="M26" s="1">
        <v>0</v>
      </c>
      <c r="N26" s="1">
        <f t="shared" si="3"/>
        <v>27</v>
      </c>
      <c r="O26" s="1">
        <v>5</v>
      </c>
      <c r="P26" s="1">
        <v>5</v>
      </c>
      <c r="Q26" s="1">
        <f t="shared" si="1"/>
        <v>34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270</v>
      </c>
      <c r="G27" s="1">
        <v>7</v>
      </c>
      <c r="H27" s="12" t="s">
        <v>36</v>
      </c>
      <c r="I27" s="12" t="s">
        <v>49</v>
      </c>
      <c r="J27" s="12" t="s">
        <v>250</v>
      </c>
      <c r="K27" s="1">
        <v>100</v>
      </c>
      <c r="L27" s="1">
        <v>3</v>
      </c>
      <c r="M27" s="1">
        <v>0</v>
      </c>
      <c r="N27" s="1">
        <f t="shared" si="3"/>
        <v>27</v>
      </c>
      <c r="O27" s="1">
        <v>5</v>
      </c>
      <c r="P27" s="1">
        <v>5</v>
      </c>
      <c r="Q27" s="1">
        <f t="shared" si="1"/>
        <v>34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271</v>
      </c>
      <c r="G28" s="1">
        <v>9</v>
      </c>
      <c r="H28" s="1">
        <v>9</v>
      </c>
      <c r="I28" s="12" t="s">
        <v>27</v>
      </c>
      <c r="J28" s="12" t="s">
        <v>250</v>
      </c>
      <c r="K28" s="1">
        <v>100</v>
      </c>
      <c r="L28" s="1">
        <v>3</v>
      </c>
      <c r="M28" s="1">
        <v>0</v>
      </c>
      <c r="N28" s="1">
        <f t="shared" si="3"/>
        <v>27</v>
      </c>
      <c r="O28" s="1">
        <v>5</v>
      </c>
      <c r="P28" s="1">
        <v>5</v>
      </c>
      <c r="Q28" s="1">
        <f t="shared" si="1"/>
        <v>34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272</v>
      </c>
      <c r="G29" s="1">
        <v>10</v>
      </c>
      <c r="H29" s="1">
        <v>10</v>
      </c>
      <c r="I29" s="12" t="s">
        <v>31</v>
      </c>
      <c r="J29" s="12" t="s">
        <v>252</v>
      </c>
      <c r="K29" s="1">
        <v>100</v>
      </c>
      <c r="L29" s="1">
        <v>3</v>
      </c>
      <c r="M29" s="1">
        <v>0</v>
      </c>
      <c r="N29" s="1">
        <f t="shared" si="3"/>
        <v>27</v>
      </c>
      <c r="O29" s="1">
        <v>5</v>
      </c>
      <c r="P29" s="1">
        <v>5</v>
      </c>
      <c r="Q29" s="1">
        <f t="shared" si="1"/>
        <v>34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273</v>
      </c>
      <c r="G31" s="1">
        <v>1</v>
      </c>
      <c r="H31" s="1">
        <v>1</v>
      </c>
      <c r="I31" s="12" t="s">
        <v>24</v>
      </c>
      <c r="J31" s="12" t="s">
        <v>274</v>
      </c>
      <c r="K31" s="1">
        <v>100</v>
      </c>
      <c r="L31" s="1">
        <v>1</v>
      </c>
      <c r="M31" s="1">
        <v>0</v>
      </c>
      <c r="N31" s="1">
        <f t="shared" ref="N31:N38" si="4">E31/10*3+1</f>
        <v>28</v>
      </c>
      <c r="O31" s="1">
        <v>5</v>
      </c>
      <c r="P31" s="1">
        <v>15</v>
      </c>
      <c r="Q31" s="1">
        <f t="shared" ref="Q31:Q54" si="5">E31/10*3+10</f>
        <v>37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275</v>
      </c>
      <c r="G32" s="1">
        <v>2</v>
      </c>
      <c r="H32" s="1">
        <v>2</v>
      </c>
      <c r="I32" s="12" t="s">
        <v>27</v>
      </c>
      <c r="J32" s="12" t="s">
        <v>274</v>
      </c>
      <c r="K32" s="1">
        <v>100</v>
      </c>
      <c r="L32" s="1">
        <v>1</v>
      </c>
      <c r="M32" s="1">
        <v>0</v>
      </c>
      <c r="N32" s="1">
        <f t="shared" si="4"/>
        <v>28</v>
      </c>
      <c r="O32" s="1">
        <v>5</v>
      </c>
      <c r="P32" s="1">
        <v>15</v>
      </c>
      <c r="Q32" s="1">
        <f t="shared" si="5"/>
        <v>37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276</v>
      </c>
      <c r="G33" s="1">
        <v>3</v>
      </c>
      <c r="H33" s="1">
        <v>3</v>
      </c>
      <c r="I33" s="12" t="s">
        <v>24</v>
      </c>
      <c r="J33" s="12" t="s">
        <v>277</v>
      </c>
      <c r="K33" s="1">
        <v>100</v>
      </c>
      <c r="L33" s="1">
        <v>1</v>
      </c>
      <c r="M33" s="1">
        <v>0</v>
      </c>
      <c r="N33" s="1">
        <f t="shared" si="4"/>
        <v>28</v>
      </c>
      <c r="O33" s="1">
        <v>5</v>
      </c>
      <c r="P33" s="1">
        <v>7</v>
      </c>
      <c r="Q33" s="1">
        <f t="shared" si="5"/>
        <v>37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278</v>
      </c>
      <c r="G34" s="1">
        <v>4</v>
      </c>
      <c r="H34" s="1">
        <v>4</v>
      </c>
      <c r="I34" s="12" t="s">
        <v>31</v>
      </c>
      <c r="J34" s="12" t="s">
        <v>279</v>
      </c>
      <c r="K34" s="1">
        <v>100</v>
      </c>
      <c r="L34" s="1">
        <v>1</v>
      </c>
      <c r="M34" s="1">
        <v>0</v>
      </c>
      <c r="N34" s="1">
        <f t="shared" si="4"/>
        <v>28</v>
      </c>
      <c r="O34" s="1">
        <v>5</v>
      </c>
      <c r="P34" s="1">
        <v>7</v>
      </c>
      <c r="Q34" s="1">
        <f t="shared" si="5"/>
        <v>37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280</v>
      </c>
      <c r="G35" s="1">
        <v>5</v>
      </c>
      <c r="H35" s="12" t="s">
        <v>34</v>
      </c>
      <c r="I35" s="12" t="s">
        <v>31</v>
      </c>
      <c r="J35" s="12" t="s">
        <v>279</v>
      </c>
      <c r="K35" s="1">
        <v>100</v>
      </c>
      <c r="L35" s="1">
        <v>1</v>
      </c>
      <c r="M35" s="1">
        <v>0</v>
      </c>
      <c r="N35" s="1">
        <f t="shared" si="4"/>
        <v>28</v>
      </c>
      <c r="O35" s="1">
        <v>5</v>
      </c>
      <c r="P35" s="1">
        <v>7</v>
      </c>
      <c r="Q35" s="1">
        <f t="shared" si="5"/>
        <v>37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281</v>
      </c>
      <c r="G36" s="1">
        <v>7</v>
      </c>
      <c r="H36" s="12" t="s">
        <v>36</v>
      </c>
      <c r="I36" s="12" t="s">
        <v>24</v>
      </c>
      <c r="J36" s="12" t="s">
        <v>277</v>
      </c>
      <c r="K36" s="1">
        <v>100</v>
      </c>
      <c r="L36" s="1">
        <v>1</v>
      </c>
      <c r="M36" s="1">
        <v>0</v>
      </c>
      <c r="N36" s="1">
        <f t="shared" si="4"/>
        <v>28</v>
      </c>
      <c r="O36" s="1">
        <v>5</v>
      </c>
      <c r="P36" s="1">
        <v>7</v>
      </c>
      <c r="Q36" s="1">
        <f t="shared" si="5"/>
        <v>37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282</v>
      </c>
      <c r="G37" s="1">
        <v>9</v>
      </c>
      <c r="H37" s="1">
        <v>9</v>
      </c>
      <c r="I37" s="12" t="s">
        <v>27</v>
      </c>
      <c r="J37" s="12" t="s">
        <v>277</v>
      </c>
      <c r="K37" s="1">
        <v>100</v>
      </c>
      <c r="L37" s="1">
        <v>1</v>
      </c>
      <c r="M37" s="1">
        <v>0</v>
      </c>
      <c r="N37" s="1">
        <f t="shared" si="4"/>
        <v>28</v>
      </c>
      <c r="O37" s="1">
        <v>5</v>
      </c>
      <c r="P37" s="1">
        <v>7</v>
      </c>
      <c r="Q37" s="1">
        <f t="shared" si="5"/>
        <v>37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283</v>
      </c>
      <c r="G38" s="1">
        <v>10</v>
      </c>
      <c r="H38" s="1">
        <v>10</v>
      </c>
      <c r="I38" s="12" t="s">
        <v>31</v>
      </c>
      <c r="J38" s="12" t="s">
        <v>279</v>
      </c>
      <c r="K38" s="1">
        <v>100</v>
      </c>
      <c r="L38" s="1">
        <v>1</v>
      </c>
      <c r="M38" s="1">
        <v>0</v>
      </c>
      <c r="N38" s="1">
        <f t="shared" si="4"/>
        <v>28</v>
      </c>
      <c r="O38" s="1">
        <v>5</v>
      </c>
      <c r="P38" s="1">
        <v>7</v>
      </c>
      <c r="Q38" s="1">
        <f t="shared" si="5"/>
        <v>37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284</v>
      </c>
      <c r="G39" s="1">
        <v>1</v>
      </c>
      <c r="H39" s="1">
        <v>1</v>
      </c>
      <c r="I39" s="12" t="s">
        <v>40</v>
      </c>
      <c r="J39" s="12" t="s">
        <v>274</v>
      </c>
      <c r="K39" s="1">
        <v>100</v>
      </c>
      <c r="L39" s="1">
        <v>2</v>
      </c>
      <c r="M39" s="1">
        <v>0</v>
      </c>
      <c r="N39" s="1">
        <f t="shared" ref="N39:N46" si="6">E39/10*3+2</f>
        <v>29</v>
      </c>
      <c r="O39" s="1">
        <v>5</v>
      </c>
      <c r="P39" s="1">
        <v>15</v>
      </c>
      <c r="Q39" s="1">
        <f t="shared" si="5"/>
        <v>37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285</v>
      </c>
      <c r="G40" s="1">
        <v>2</v>
      </c>
      <c r="H40" s="1">
        <v>2</v>
      </c>
      <c r="I40" s="12" t="s">
        <v>27</v>
      </c>
      <c r="J40" s="12" t="s">
        <v>274</v>
      </c>
      <c r="K40" s="1">
        <v>100</v>
      </c>
      <c r="L40" s="1">
        <v>2</v>
      </c>
      <c r="M40" s="1">
        <v>0</v>
      </c>
      <c r="N40" s="1">
        <f t="shared" si="6"/>
        <v>29</v>
      </c>
      <c r="O40" s="1">
        <v>5</v>
      </c>
      <c r="P40" s="1">
        <v>15</v>
      </c>
      <c r="Q40" s="1">
        <f t="shared" si="5"/>
        <v>37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286</v>
      </c>
      <c r="G41" s="1">
        <v>3</v>
      </c>
      <c r="H41" s="1">
        <v>3</v>
      </c>
      <c r="I41" s="12" t="s">
        <v>40</v>
      </c>
      <c r="J41" s="12" t="s">
        <v>277</v>
      </c>
      <c r="K41" s="1">
        <v>100</v>
      </c>
      <c r="L41" s="1">
        <v>2</v>
      </c>
      <c r="M41" s="1">
        <v>0</v>
      </c>
      <c r="N41" s="1">
        <f t="shared" si="6"/>
        <v>29</v>
      </c>
      <c r="O41" s="1">
        <v>5</v>
      </c>
      <c r="P41" s="1">
        <v>7</v>
      </c>
      <c r="Q41" s="1">
        <f t="shared" si="5"/>
        <v>37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287</v>
      </c>
      <c r="G42" s="1">
        <v>4</v>
      </c>
      <c r="H42" s="1">
        <v>4</v>
      </c>
      <c r="I42" s="12" t="s">
        <v>31</v>
      </c>
      <c r="J42" s="12" t="s">
        <v>279</v>
      </c>
      <c r="K42" s="1">
        <v>100</v>
      </c>
      <c r="L42" s="1">
        <v>2</v>
      </c>
      <c r="M42" s="1">
        <v>0</v>
      </c>
      <c r="N42" s="1">
        <f t="shared" si="6"/>
        <v>29</v>
      </c>
      <c r="O42" s="1">
        <v>5</v>
      </c>
      <c r="P42" s="1">
        <v>7</v>
      </c>
      <c r="Q42" s="1">
        <f t="shared" si="5"/>
        <v>37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288</v>
      </c>
      <c r="G43" s="1">
        <v>5</v>
      </c>
      <c r="H43" s="12" t="s">
        <v>34</v>
      </c>
      <c r="I43" s="12" t="s">
        <v>31</v>
      </c>
      <c r="J43" s="12" t="s">
        <v>279</v>
      </c>
      <c r="K43" s="1">
        <v>100</v>
      </c>
      <c r="L43" s="1">
        <v>2</v>
      </c>
      <c r="M43" s="1">
        <v>0</v>
      </c>
      <c r="N43" s="1">
        <f t="shared" si="6"/>
        <v>29</v>
      </c>
      <c r="O43" s="1">
        <v>5</v>
      </c>
      <c r="P43" s="1">
        <v>7</v>
      </c>
      <c r="Q43" s="1">
        <f t="shared" si="5"/>
        <v>37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289</v>
      </c>
      <c r="G44" s="1">
        <v>7</v>
      </c>
      <c r="H44" s="12" t="s">
        <v>36</v>
      </c>
      <c r="I44" s="12" t="s">
        <v>40</v>
      </c>
      <c r="J44" s="12" t="s">
        <v>277</v>
      </c>
      <c r="K44" s="1">
        <v>100</v>
      </c>
      <c r="L44" s="1">
        <v>2</v>
      </c>
      <c r="M44" s="1">
        <v>0</v>
      </c>
      <c r="N44" s="1">
        <f t="shared" si="6"/>
        <v>29</v>
      </c>
      <c r="O44" s="1">
        <v>5</v>
      </c>
      <c r="P44" s="1">
        <v>7</v>
      </c>
      <c r="Q44" s="1">
        <f t="shared" si="5"/>
        <v>37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290</v>
      </c>
      <c r="G45" s="1">
        <v>9</v>
      </c>
      <c r="H45" s="1">
        <v>9</v>
      </c>
      <c r="I45" s="12" t="s">
        <v>27</v>
      </c>
      <c r="J45" s="12" t="s">
        <v>277</v>
      </c>
      <c r="K45" s="1">
        <v>100</v>
      </c>
      <c r="L45" s="1">
        <v>2</v>
      </c>
      <c r="M45" s="1">
        <v>0</v>
      </c>
      <c r="N45" s="1">
        <f t="shared" si="6"/>
        <v>29</v>
      </c>
      <c r="O45" s="1">
        <v>5</v>
      </c>
      <c r="P45" s="1">
        <v>7</v>
      </c>
      <c r="Q45" s="1">
        <f t="shared" si="5"/>
        <v>37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291</v>
      </c>
      <c r="G46" s="1">
        <v>10</v>
      </c>
      <c r="H46" s="1">
        <v>10</v>
      </c>
      <c r="I46" s="12" t="s">
        <v>31</v>
      </c>
      <c r="J46" s="12" t="s">
        <v>279</v>
      </c>
      <c r="K46" s="1">
        <v>100</v>
      </c>
      <c r="L46" s="1">
        <v>2</v>
      </c>
      <c r="M46" s="1">
        <v>0</v>
      </c>
      <c r="N46" s="1">
        <f t="shared" si="6"/>
        <v>29</v>
      </c>
      <c r="O46" s="1">
        <v>5</v>
      </c>
      <c r="P46" s="1">
        <v>7</v>
      </c>
      <c r="Q46" s="1">
        <f t="shared" si="5"/>
        <v>37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292</v>
      </c>
      <c r="G47" s="1">
        <v>1</v>
      </c>
      <c r="H47" s="1">
        <v>1</v>
      </c>
      <c r="I47" s="12" t="s">
        <v>49</v>
      </c>
      <c r="J47" s="12" t="s">
        <v>274</v>
      </c>
      <c r="K47" s="1">
        <v>100</v>
      </c>
      <c r="L47" s="1">
        <v>3</v>
      </c>
      <c r="M47" s="1">
        <v>0</v>
      </c>
      <c r="N47" s="1">
        <f t="shared" ref="N47:N54" si="7">E47/10*3+3</f>
        <v>30</v>
      </c>
      <c r="O47" s="1">
        <v>5</v>
      </c>
      <c r="P47" s="1">
        <v>15</v>
      </c>
      <c r="Q47" s="1">
        <f t="shared" si="5"/>
        <v>37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293</v>
      </c>
      <c r="G48" s="1">
        <v>2</v>
      </c>
      <c r="H48" s="1">
        <v>2</v>
      </c>
      <c r="I48" s="12" t="s">
        <v>27</v>
      </c>
      <c r="J48" s="12" t="s">
        <v>274</v>
      </c>
      <c r="K48" s="1">
        <v>100</v>
      </c>
      <c r="L48" s="1">
        <v>3</v>
      </c>
      <c r="M48" s="1">
        <v>0</v>
      </c>
      <c r="N48" s="1">
        <f t="shared" si="7"/>
        <v>30</v>
      </c>
      <c r="O48" s="1">
        <v>5</v>
      </c>
      <c r="P48" s="1">
        <v>15</v>
      </c>
      <c r="Q48" s="1">
        <f t="shared" si="5"/>
        <v>37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294</v>
      </c>
      <c r="G49" s="1">
        <v>3</v>
      </c>
      <c r="H49" s="1">
        <v>3</v>
      </c>
      <c r="I49" s="12" t="s">
        <v>49</v>
      </c>
      <c r="J49" s="12" t="s">
        <v>277</v>
      </c>
      <c r="K49" s="1">
        <v>100</v>
      </c>
      <c r="L49" s="1">
        <v>3</v>
      </c>
      <c r="M49" s="1">
        <v>0</v>
      </c>
      <c r="N49" s="1">
        <f t="shared" si="7"/>
        <v>30</v>
      </c>
      <c r="O49" s="1">
        <v>5</v>
      </c>
      <c r="P49" s="1">
        <v>7</v>
      </c>
      <c r="Q49" s="1">
        <f t="shared" si="5"/>
        <v>37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295</v>
      </c>
      <c r="G50" s="1">
        <v>4</v>
      </c>
      <c r="H50" s="1">
        <v>4</v>
      </c>
      <c r="I50" s="12" t="s">
        <v>31</v>
      </c>
      <c r="J50" s="12" t="s">
        <v>279</v>
      </c>
      <c r="K50" s="1">
        <v>100</v>
      </c>
      <c r="L50" s="1">
        <v>3</v>
      </c>
      <c r="M50" s="1">
        <v>0</v>
      </c>
      <c r="N50" s="1">
        <f t="shared" si="7"/>
        <v>30</v>
      </c>
      <c r="O50" s="1">
        <v>5</v>
      </c>
      <c r="P50" s="1">
        <v>7</v>
      </c>
      <c r="Q50" s="1">
        <f t="shared" si="5"/>
        <v>37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296</v>
      </c>
      <c r="G51" s="1">
        <v>5</v>
      </c>
      <c r="H51" s="12" t="s">
        <v>34</v>
      </c>
      <c r="I51" s="12" t="s">
        <v>31</v>
      </c>
      <c r="J51" s="12" t="s">
        <v>279</v>
      </c>
      <c r="K51" s="1">
        <v>100</v>
      </c>
      <c r="L51" s="1">
        <v>3</v>
      </c>
      <c r="M51" s="1">
        <v>0</v>
      </c>
      <c r="N51" s="1">
        <f t="shared" si="7"/>
        <v>30</v>
      </c>
      <c r="O51" s="1">
        <v>5</v>
      </c>
      <c r="P51" s="1">
        <v>7</v>
      </c>
      <c r="Q51" s="1">
        <f t="shared" si="5"/>
        <v>37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297</v>
      </c>
      <c r="G52" s="1">
        <v>7</v>
      </c>
      <c r="H52" s="12" t="s">
        <v>36</v>
      </c>
      <c r="I52" s="12" t="s">
        <v>49</v>
      </c>
      <c r="J52" s="12" t="s">
        <v>277</v>
      </c>
      <c r="K52" s="1">
        <v>100</v>
      </c>
      <c r="L52" s="1">
        <v>3</v>
      </c>
      <c r="M52" s="1">
        <v>0</v>
      </c>
      <c r="N52" s="1">
        <f t="shared" si="7"/>
        <v>30</v>
      </c>
      <c r="O52" s="1">
        <v>5</v>
      </c>
      <c r="P52" s="1">
        <v>7</v>
      </c>
      <c r="Q52" s="1">
        <f t="shared" si="5"/>
        <v>37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298</v>
      </c>
      <c r="G53" s="1">
        <v>9</v>
      </c>
      <c r="H53" s="1">
        <v>9</v>
      </c>
      <c r="I53" s="12" t="s">
        <v>27</v>
      </c>
      <c r="J53" s="12" t="s">
        <v>277</v>
      </c>
      <c r="K53" s="1">
        <v>100</v>
      </c>
      <c r="L53" s="1">
        <v>3</v>
      </c>
      <c r="M53" s="1">
        <v>0</v>
      </c>
      <c r="N53" s="1">
        <f t="shared" si="7"/>
        <v>30</v>
      </c>
      <c r="O53" s="1">
        <v>5</v>
      </c>
      <c r="P53" s="1">
        <v>7</v>
      </c>
      <c r="Q53" s="1">
        <f t="shared" si="5"/>
        <v>37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299</v>
      </c>
      <c r="G54" s="1">
        <v>10</v>
      </c>
      <c r="H54" s="1">
        <v>10</v>
      </c>
      <c r="I54" s="12" t="s">
        <v>31</v>
      </c>
      <c r="J54" s="12" t="s">
        <v>279</v>
      </c>
      <c r="K54" s="1">
        <v>100</v>
      </c>
      <c r="L54" s="1">
        <v>3</v>
      </c>
      <c r="M54" s="1">
        <v>0</v>
      </c>
      <c r="N54" s="1">
        <f t="shared" si="7"/>
        <v>30</v>
      </c>
      <c r="O54" s="1">
        <v>5</v>
      </c>
      <c r="P54" s="1">
        <v>7</v>
      </c>
      <c r="Q54" s="1">
        <f t="shared" si="5"/>
        <v>37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300</v>
      </c>
      <c r="G56" s="1">
        <v>1</v>
      </c>
      <c r="H56" s="1">
        <v>1</v>
      </c>
      <c r="I56" s="12" t="s">
        <v>24</v>
      </c>
      <c r="J56" s="12" t="s">
        <v>301</v>
      </c>
      <c r="K56" s="1">
        <v>100</v>
      </c>
      <c r="L56" s="1">
        <v>1</v>
      </c>
      <c r="M56" s="1">
        <v>0</v>
      </c>
      <c r="N56" s="1">
        <f t="shared" ref="N56:N63" si="8">E56/10*3+1</f>
        <v>31</v>
      </c>
      <c r="O56" s="1">
        <v>5</v>
      </c>
      <c r="P56" s="1">
        <v>20</v>
      </c>
      <c r="Q56" s="1">
        <f t="shared" ref="Q56:Q79" si="9">E56/10*3+10</f>
        <v>40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302</v>
      </c>
      <c r="G57" s="1">
        <v>2</v>
      </c>
      <c r="H57" s="1">
        <v>2</v>
      </c>
      <c r="I57" s="12" t="s">
        <v>27</v>
      </c>
      <c r="J57" s="12" t="s">
        <v>301</v>
      </c>
      <c r="K57" s="1">
        <v>100</v>
      </c>
      <c r="L57" s="1">
        <v>1</v>
      </c>
      <c r="M57" s="1">
        <v>0</v>
      </c>
      <c r="N57" s="1">
        <f t="shared" si="8"/>
        <v>31</v>
      </c>
      <c r="O57" s="1">
        <v>5</v>
      </c>
      <c r="P57" s="1">
        <v>20</v>
      </c>
      <c r="Q57" s="1">
        <f t="shared" si="9"/>
        <v>40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303</v>
      </c>
      <c r="G58" s="1">
        <v>3</v>
      </c>
      <c r="H58" s="1">
        <v>3</v>
      </c>
      <c r="I58" s="12" t="s">
        <v>24</v>
      </c>
      <c r="J58" s="12" t="s">
        <v>304</v>
      </c>
      <c r="K58" s="1">
        <v>100</v>
      </c>
      <c r="L58" s="1">
        <v>1</v>
      </c>
      <c r="M58" s="1">
        <v>0</v>
      </c>
      <c r="N58" s="1">
        <f t="shared" si="8"/>
        <v>31</v>
      </c>
      <c r="O58" s="1">
        <v>5</v>
      </c>
      <c r="P58" s="1">
        <v>10</v>
      </c>
      <c r="Q58" s="1">
        <f t="shared" si="9"/>
        <v>40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305</v>
      </c>
      <c r="G59" s="1">
        <v>4</v>
      </c>
      <c r="H59" s="1">
        <v>4</v>
      </c>
      <c r="I59" s="12" t="s">
        <v>31</v>
      </c>
      <c r="J59" s="12" t="s">
        <v>306</v>
      </c>
      <c r="K59" s="1">
        <v>100</v>
      </c>
      <c r="L59" s="1">
        <v>1</v>
      </c>
      <c r="M59" s="1">
        <v>0</v>
      </c>
      <c r="N59" s="1">
        <f t="shared" si="8"/>
        <v>31</v>
      </c>
      <c r="O59" s="1">
        <v>5</v>
      </c>
      <c r="P59" s="1">
        <v>10</v>
      </c>
      <c r="Q59" s="1">
        <f t="shared" si="9"/>
        <v>40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307</v>
      </c>
      <c r="G60" s="1">
        <v>5</v>
      </c>
      <c r="H60" s="12" t="s">
        <v>34</v>
      </c>
      <c r="I60" s="12" t="s">
        <v>31</v>
      </c>
      <c r="J60" s="12" t="s">
        <v>306</v>
      </c>
      <c r="K60" s="1">
        <v>100</v>
      </c>
      <c r="L60" s="1">
        <v>1</v>
      </c>
      <c r="M60" s="1">
        <v>0</v>
      </c>
      <c r="N60" s="1">
        <f t="shared" si="8"/>
        <v>31</v>
      </c>
      <c r="O60" s="1">
        <v>5</v>
      </c>
      <c r="P60" s="1">
        <v>10</v>
      </c>
      <c r="Q60" s="1">
        <f t="shared" si="9"/>
        <v>40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308</v>
      </c>
      <c r="G61" s="1">
        <v>7</v>
      </c>
      <c r="H61" s="12" t="s">
        <v>36</v>
      </c>
      <c r="I61" s="12" t="s">
        <v>24</v>
      </c>
      <c r="J61" s="12" t="s">
        <v>304</v>
      </c>
      <c r="K61" s="1">
        <v>100</v>
      </c>
      <c r="L61" s="1">
        <v>1</v>
      </c>
      <c r="M61" s="1">
        <v>0</v>
      </c>
      <c r="N61" s="1">
        <f t="shared" si="8"/>
        <v>31</v>
      </c>
      <c r="O61" s="1">
        <v>5</v>
      </c>
      <c r="P61" s="1">
        <v>10</v>
      </c>
      <c r="Q61" s="1">
        <f t="shared" si="9"/>
        <v>40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309</v>
      </c>
      <c r="G62" s="1">
        <v>9</v>
      </c>
      <c r="H62" s="1">
        <v>9</v>
      </c>
      <c r="I62" s="12" t="s">
        <v>27</v>
      </c>
      <c r="J62" s="12" t="s">
        <v>304</v>
      </c>
      <c r="K62" s="1">
        <v>100</v>
      </c>
      <c r="L62" s="1">
        <v>1</v>
      </c>
      <c r="M62" s="1">
        <v>0</v>
      </c>
      <c r="N62" s="1">
        <f t="shared" si="8"/>
        <v>31</v>
      </c>
      <c r="O62" s="1">
        <v>5</v>
      </c>
      <c r="P62" s="1">
        <v>10</v>
      </c>
      <c r="Q62" s="1">
        <f t="shared" si="9"/>
        <v>40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310</v>
      </c>
      <c r="G63" s="1">
        <v>10</v>
      </c>
      <c r="H63" s="1">
        <v>10</v>
      </c>
      <c r="I63" s="12" t="s">
        <v>31</v>
      </c>
      <c r="J63" s="12" t="s">
        <v>306</v>
      </c>
      <c r="K63" s="1">
        <v>100</v>
      </c>
      <c r="L63" s="1">
        <v>1</v>
      </c>
      <c r="M63" s="1">
        <v>0</v>
      </c>
      <c r="N63" s="1">
        <f t="shared" si="8"/>
        <v>31</v>
      </c>
      <c r="O63" s="1">
        <v>5</v>
      </c>
      <c r="P63" s="1">
        <v>10</v>
      </c>
      <c r="Q63" s="1">
        <f t="shared" si="9"/>
        <v>40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311</v>
      </c>
      <c r="G64" s="1">
        <v>1</v>
      </c>
      <c r="H64" s="1">
        <v>1</v>
      </c>
      <c r="I64" s="12" t="s">
        <v>40</v>
      </c>
      <c r="J64" s="12" t="s">
        <v>301</v>
      </c>
      <c r="K64" s="1">
        <v>100</v>
      </c>
      <c r="L64" s="1">
        <v>2</v>
      </c>
      <c r="M64" s="1">
        <v>0</v>
      </c>
      <c r="N64" s="1">
        <f t="shared" ref="N64:N71" si="10">E64/10*3+2</f>
        <v>32</v>
      </c>
      <c r="O64" s="1">
        <v>5</v>
      </c>
      <c r="P64" s="1">
        <v>20</v>
      </c>
      <c r="Q64" s="1">
        <f t="shared" si="9"/>
        <v>40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312</v>
      </c>
      <c r="G65" s="1">
        <v>2</v>
      </c>
      <c r="H65" s="1">
        <v>2</v>
      </c>
      <c r="I65" s="12" t="s">
        <v>27</v>
      </c>
      <c r="J65" s="12" t="s">
        <v>301</v>
      </c>
      <c r="K65" s="1">
        <v>100</v>
      </c>
      <c r="L65" s="1">
        <v>2</v>
      </c>
      <c r="M65" s="1">
        <v>0</v>
      </c>
      <c r="N65" s="1">
        <f t="shared" si="10"/>
        <v>32</v>
      </c>
      <c r="O65" s="1">
        <v>5</v>
      </c>
      <c r="P65" s="1">
        <v>20</v>
      </c>
      <c r="Q65" s="1">
        <f t="shared" si="9"/>
        <v>40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313</v>
      </c>
      <c r="G66" s="1">
        <v>3</v>
      </c>
      <c r="H66" s="1">
        <v>3</v>
      </c>
      <c r="I66" s="12" t="s">
        <v>40</v>
      </c>
      <c r="J66" s="12" t="s">
        <v>304</v>
      </c>
      <c r="K66" s="1">
        <v>100</v>
      </c>
      <c r="L66" s="1">
        <v>2</v>
      </c>
      <c r="M66" s="1">
        <v>0</v>
      </c>
      <c r="N66" s="1">
        <f t="shared" si="10"/>
        <v>32</v>
      </c>
      <c r="O66" s="1">
        <v>5</v>
      </c>
      <c r="P66" s="1">
        <v>10</v>
      </c>
      <c r="Q66" s="1">
        <f t="shared" si="9"/>
        <v>40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314</v>
      </c>
      <c r="G67" s="1">
        <v>4</v>
      </c>
      <c r="H67" s="1">
        <v>4</v>
      </c>
      <c r="I67" s="12" t="s">
        <v>31</v>
      </c>
      <c r="J67" s="12" t="s">
        <v>306</v>
      </c>
      <c r="K67" s="1">
        <v>100</v>
      </c>
      <c r="L67" s="1">
        <v>2</v>
      </c>
      <c r="M67" s="1">
        <v>0</v>
      </c>
      <c r="N67" s="1">
        <f t="shared" si="10"/>
        <v>32</v>
      </c>
      <c r="O67" s="1">
        <v>5</v>
      </c>
      <c r="P67" s="1">
        <v>10</v>
      </c>
      <c r="Q67" s="1">
        <f t="shared" si="9"/>
        <v>40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315</v>
      </c>
      <c r="G68" s="1">
        <v>5</v>
      </c>
      <c r="H68" s="12" t="s">
        <v>34</v>
      </c>
      <c r="I68" s="12" t="s">
        <v>31</v>
      </c>
      <c r="J68" s="12" t="s">
        <v>306</v>
      </c>
      <c r="K68" s="1">
        <v>100</v>
      </c>
      <c r="L68" s="1">
        <v>2</v>
      </c>
      <c r="M68" s="1">
        <v>0</v>
      </c>
      <c r="N68" s="1">
        <f t="shared" si="10"/>
        <v>32</v>
      </c>
      <c r="O68" s="1">
        <v>5</v>
      </c>
      <c r="P68" s="1">
        <v>10</v>
      </c>
      <c r="Q68" s="1">
        <f t="shared" si="9"/>
        <v>40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316</v>
      </c>
      <c r="G69" s="1">
        <v>7</v>
      </c>
      <c r="H69" s="12" t="s">
        <v>36</v>
      </c>
      <c r="I69" s="12" t="s">
        <v>40</v>
      </c>
      <c r="J69" s="12" t="s">
        <v>304</v>
      </c>
      <c r="K69" s="1">
        <v>100</v>
      </c>
      <c r="L69" s="1">
        <v>2</v>
      </c>
      <c r="M69" s="1">
        <v>0</v>
      </c>
      <c r="N69" s="1">
        <f t="shared" si="10"/>
        <v>32</v>
      </c>
      <c r="O69" s="1">
        <v>5</v>
      </c>
      <c r="P69" s="1">
        <v>10</v>
      </c>
      <c r="Q69" s="1">
        <f t="shared" si="9"/>
        <v>40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317</v>
      </c>
      <c r="G70" s="1">
        <v>9</v>
      </c>
      <c r="H70" s="1">
        <v>9</v>
      </c>
      <c r="I70" s="12" t="s">
        <v>27</v>
      </c>
      <c r="J70" s="12" t="s">
        <v>304</v>
      </c>
      <c r="K70" s="1">
        <v>100</v>
      </c>
      <c r="L70" s="1">
        <v>2</v>
      </c>
      <c r="M70" s="1">
        <v>0</v>
      </c>
      <c r="N70" s="1">
        <f t="shared" si="10"/>
        <v>32</v>
      </c>
      <c r="O70" s="1">
        <v>5</v>
      </c>
      <c r="P70" s="1">
        <v>10</v>
      </c>
      <c r="Q70" s="1">
        <f t="shared" si="9"/>
        <v>40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318</v>
      </c>
      <c r="G71" s="1">
        <v>10</v>
      </c>
      <c r="H71" s="1">
        <v>10</v>
      </c>
      <c r="I71" s="12" t="s">
        <v>31</v>
      </c>
      <c r="J71" s="12" t="s">
        <v>306</v>
      </c>
      <c r="K71" s="1">
        <v>100</v>
      </c>
      <c r="L71" s="1">
        <v>2</v>
      </c>
      <c r="M71" s="1">
        <v>0</v>
      </c>
      <c r="N71" s="1">
        <f t="shared" si="10"/>
        <v>32</v>
      </c>
      <c r="O71" s="1">
        <v>5</v>
      </c>
      <c r="P71" s="1">
        <v>10</v>
      </c>
      <c r="Q71" s="1">
        <f t="shared" si="9"/>
        <v>40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319</v>
      </c>
      <c r="G72" s="1">
        <v>1</v>
      </c>
      <c r="H72" s="1">
        <v>1</v>
      </c>
      <c r="I72" s="12" t="s">
        <v>49</v>
      </c>
      <c r="J72" s="12" t="s">
        <v>301</v>
      </c>
      <c r="K72" s="1">
        <v>100</v>
      </c>
      <c r="L72" s="1">
        <v>3</v>
      </c>
      <c r="M72" s="1">
        <v>0</v>
      </c>
      <c r="N72" s="1">
        <f t="shared" ref="N72:N79" si="11">E72/10*3+3</f>
        <v>33</v>
      </c>
      <c r="O72" s="1">
        <v>5</v>
      </c>
      <c r="P72" s="1">
        <v>20</v>
      </c>
      <c r="Q72" s="1">
        <f t="shared" si="9"/>
        <v>40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320</v>
      </c>
      <c r="G73" s="1">
        <v>2</v>
      </c>
      <c r="H73" s="1">
        <v>2</v>
      </c>
      <c r="I73" s="12" t="s">
        <v>27</v>
      </c>
      <c r="J73" s="12" t="s">
        <v>301</v>
      </c>
      <c r="K73" s="1">
        <v>100</v>
      </c>
      <c r="L73" s="1">
        <v>3</v>
      </c>
      <c r="M73" s="1">
        <v>0</v>
      </c>
      <c r="N73" s="1">
        <f t="shared" si="11"/>
        <v>33</v>
      </c>
      <c r="O73" s="1">
        <v>5</v>
      </c>
      <c r="P73" s="1">
        <v>20</v>
      </c>
      <c r="Q73" s="1">
        <f t="shared" si="9"/>
        <v>40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321</v>
      </c>
      <c r="G74" s="1">
        <v>3</v>
      </c>
      <c r="H74" s="1">
        <v>3</v>
      </c>
      <c r="I74" s="12" t="s">
        <v>49</v>
      </c>
      <c r="J74" s="12" t="s">
        <v>304</v>
      </c>
      <c r="K74" s="1">
        <v>100</v>
      </c>
      <c r="L74" s="1">
        <v>3</v>
      </c>
      <c r="M74" s="1">
        <v>0</v>
      </c>
      <c r="N74" s="1">
        <f t="shared" si="11"/>
        <v>33</v>
      </c>
      <c r="O74" s="1">
        <v>5</v>
      </c>
      <c r="P74" s="1">
        <v>10</v>
      </c>
      <c r="Q74" s="1">
        <f t="shared" si="9"/>
        <v>40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322</v>
      </c>
      <c r="G75" s="1">
        <v>4</v>
      </c>
      <c r="H75" s="1">
        <v>4</v>
      </c>
      <c r="I75" s="12" t="s">
        <v>31</v>
      </c>
      <c r="J75" s="12" t="s">
        <v>306</v>
      </c>
      <c r="K75" s="1">
        <v>100</v>
      </c>
      <c r="L75" s="1">
        <v>3</v>
      </c>
      <c r="M75" s="1">
        <v>0</v>
      </c>
      <c r="N75" s="1">
        <f t="shared" si="11"/>
        <v>33</v>
      </c>
      <c r="O75" s="1">
        <v>5</v>
      </c>
      <c r="P75" s="1">
        <v>10</v>
      </c>
      <c r="Q75" s="1">
        <f t="shared" si="9"/>
        <v>40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323</v>
      </c>
      <c r="G76" s="1">
        <v>5</v>
      </c>
      <c r="H76" s="12" t="s">
        <v>34</v>
      </c>
      <c r="I76" s="12" t="s">
        <v>31</v>
      </c>
      <c r="J76" s="12" t="s">
        <v>306</v>
      </c>
      <c r="K76" s="1">
        <v>100</v>
      </c>
      <c r="L76" s="1">
        <v>3</v>
      </c>
      <c r="M76" s="1">
        <v>0</v>
      </c>
      <c r="N76" s="1">
        <f t="shared" si="11"/>
        <v>33</v>
      </c>
      <c r="O76" s="1">
        <v>5</v>
      </c>
      <c r="P76" s="1">
        <v>10</v>
      </c>
      <c r="Q76" s="1">
        <f t="shared" si="9"/>
        <v>40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324</v>
      </c>
      <c r="G77" s="1">
        <v>7</v>
      </c>
      <c r="H77" s="12" t="s">
        <v>36</v>
      </c>
      <c r="I77" s="12" t="s">
        <v>49</v>
      </c>
      <c r="J77" s="12" t="s">
        <v>304</v>
      </c>
      <c r="K77" s="1">
        <v>100</v>
      </c>
      <c r="L77" s="1">
        <v>3</v>
      </c>
      <c r="M77" s="1">
        <v>0</v>
      </c>
      <c r="N77" s="1">
        <f t="shared" si="11"/>
        <v>33</v>
      </c>
      <c r="O77" s="1">
        <v>5</v>
      </c>
      <c r="P77" s="1">
        <v>10</v>
      </c>
      <c r="Q77" s="1">
        <f t="shared" si="9"/>
        <v>40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325</v>
      </c>
      <c r="G78" s="1">
        <v>9</v>
      </c>
      <c r="H78" s="1">
        <v>9</v>
      </c>
      <c r="I78" s="12" t="s">
        <v>27</v>
      </c>
      <c r="J78" s="12" t="s">
        <v>304</v>
      </c>
      <c r="K78" s="1">
        <v>100</v>
      </c>
      <c r="L78" s="1">
        <v>3</v>
      </c>
      <c r="M78" s="1">
        <v>0</v>
      </c>
      <c r="N78" s="1">
        <f t="shared" si="11"/>
        <v>33</v>
      </c>
      <c r="O78" s="1">
        <v>5</v>
      </c>
      <c r="P78" s="1">
        <v>10</v>
      </c>
      <c r="Q78" s="1">
        <f t="shared" si="9"/>
        <v>40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326</v>
      </c>
      <c r="G79" s="1">
        <v>10</v>
      </c>
      <c r="H79" s="1">
        <v>10</v>
      </c>
      <c r="I79" s="12" t="s">
        <v>31</v>
      </c>
      <c r="J79" s="12" t="s">
        <v>306</v>
      </c>
      <c r="K79" s="1">
        <v>100</v>
      </c>
      <c r="L79" s="1">
        <v>3</v>
      </c>
      <c r="M79" s="1">
        <v>0</v>
      </c>
      <c r="N79" s="1">
        <f t="shared" si="11"/>
        <v>33</v>
      </c>
      <c r="O79" s="1">
        <v>5</v>
      </c>
      <c r="P79" s="1">
        <v>10</v>
      </c>
      <c r="Q79" s="1">
        <f t="shared" si="9"/>
        <v>40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327</v>
      </c>
      <c r="G81" s="1">
        <v>1</v>
      </c>
      <c r="H81" s="1">
        <v>1</v>
      </c>
      <c r="I81" s="12" t="s">
        <v>24</v>
      </c>
      <c r="J81" s="12" t="s">
        <v>328</v>
      </c>
      <c r="K81" s="1">
        <v>100</v>
      </c>
      <c r="L81" s="1">
        <v>1</v>
      </c>
      <c r="M81" s="1">
        <v>0</v>
      </c>
      <c r="N81" s="1">
        <f t="shared" ref="N81:N88" si="12">E81/10*3+1</f>
        <v>34</v>
      </c>
      <c r="O81" s="1">
        <v>5</v>
      </c>
      <c r="P81" s="1">
        <v>30</v>
      </c>
      <c r="Q81" s="1">
        <v>45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329</v>
      </c>
      <c r="G82" s="1">
        <v>2</v>
      </c>
      <c r="H82" s="1">
        <v>2</v>
      </c>
      <c r="I82" s="12" t="s">
        <v>27</v>
      </c>
      <c r="J82" s="12" t="s">
        <v>328</v>
      </c>
      <c r="K82" s="1">
        <v>100</v>
      </c>
      <c r="L82" s="1">
        <v>1</v>
      </c>
      <c r="M82" s="1">
        <v>0</v>
      </c>
      <c r="N82" s="1">
        <f t="shared" si="12"/>
        <v>34</v>
      </c>
      <c r="O82" s="1">
        <v>5</v>
      </c>
      <c r="P82" s="1">
        <v>30</v>
      </c>
      <c r="Q82" s="1">
        <v>45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330</v>
      </c>
      <c r="G83" s="1">
        <v>3</v>
      </c>
      <c r="H83" s="1">
        <v>3</v>
      </c>
      <c r="I83" s="12" t="s">
        <v>24</v>
      </c>
      <c r="J83" s="12" t="s">
        <v>331</v>
      </c>
      <c r="K83" s="1">
        <v>100</v>
      </c>
      <c r="L83" s="1">
        <v>1</v>
      </c>
      <c r="M83" s="1">
        <v>0</v>
      </c>
      <c r="N83" s="1">
        <f t="shared" si="12"/>
        <v>34</v>
      </c>
      <c r="O83" s="1">
        <v>5</v>
      </c>
      <c r="P83" s="1">
        <v>15</v>
      </c>
      <c r="Q83" s="1">
        <v>45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332</v>
      </c>
      <c r="G84" s="1">
        <v>4</v>
      </c>
      <c r="H84" s="1">
        <v>4</v>
      </c>
      <c r="I84" s="12" t="s">
        <v>31</v>
      </c>
      <c r="J84" s="12" t="s">
        <v>331</v>
      </c>
      <c r="K84" s="1">
        <v>100</v>
      </c>
      <c r="L84" s="1">
        <v>1</v>
      </c>
      <c r="M84" s="1">
        <v>0</v>
      </c>
      <c r="N84" s="1">
        <f t="shared" si="12"/>
        <v>34</v>
      </c>
      <c r="O84" s="1">
        <v>5</v>
      </c>
      <c r="P84" s="1">
        <v>15</v>
      </c>
      <c r="Q84" s="1">
        <v>45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333</v>
      </c>
      <c r="G85" s="1">
        <v>5</v>
      </c>
      <c r="H85" s="12" t="s">
        <v>34</v>
      </c>
      <c r="I85" s="12" t="s">
        <v>31</v>
      </c>
      <c r="J85" s="12" t="s">
        <v>334</v>
      </c>
      <c r="K85" s="1">
        <v>100</v>
      </c>
      <c r="L85" s="1">
        <v>1</v>
      </c>
      <c r="M85" s="1">
        <v>0</v>
      </c>
      <c r="N85" s="1">
        <f t="shared" si="12"/>
        <v>34</v>
      </c>
      <c r="O85" s="1">
        <v>5</v>
      </c>
      <c r="P85" s="1">
        <v>15</v>
      </c>
      <c r="Q85" s="1">
        <v>45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335</v>
      </c>
      <c r="G86" s="1">
        <v>7</v>
      </c>
      <c r="H86" s="12" t="s">
        <v>36</v>
      </c>
      <c r="I86" s="12" t="s">
        <v>24</v>
      </c>
      <c r="J86" s="12" t="s">
        <v>331</v>
      </c>
      <c r="K86" s="1">
        <v>100</v>
      </c>
      <c r="L86" s="1">
        <v>1</v>
      </c>
      <c r="M86" s="1">
        <v>0</v>
      </c>
      <c r="N86" s="1">
        <f t="shared" si="12"/>
        <v>34</v>
      </c>
      <c r="O86" s="1">
        <v>5</v>
      </c>
      <c r="P86" s="1">
        <v>15</v>
      </c>
      <c r="Q86" s="1">
        <v>45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336</v>
      </c>
      <c r="G87" s="1">
        <v>9</v>
      </c>
      <c r="H87" s="1">
        <v>9</v>
      </c>
      <c r="I87" s="12" t="s">
        <v>27</v>
      </c>
      <c r="J87" s="12" t="s">
        <v>331</v>
      </c>
      <c r="K87" s="1">
        <v>100</v>
      </c>
      <c r="L87" s="1">
        <v>1</v>
      </c>
      <c r="M87" s="1">
        <v>0</v>
      </c>
      <c r="N87" s="1">
        <f t="shared" si="12"/>
        <v>34</v>
      </c>
      <c r="O87" s="1">
        <v>5</v>
      </c>
      <c r="P87" s="1">
        <v>15</v>
      </c>
      <c r="Q87" s="1">
        <v>45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337</v>
      </c>
      <c r="G88" s="1">
        <v>10</v>
      </c>
      <c r="H88" s="1">
        <v>10</v>
      </c>
      <c r="I88" s="12" t="s">
        <v>31</v>
      </c>
      <c r="J88" s="12" t="s">
        <v>334</v>
      </c>
      <c r="K88" s="1">
        <v>100</v>
      </c>
      <c r="L88" s="1">
        <v>1</v>
      </c>
      <c r="M88" s="1">
        <v>0</v>
      </c>
      <c r="N88" s="1">
        <f t="shared" si="12"/>
        <v>34</v>
      </c>
      <c r="O88" s="1">
        <v>5</v>
      </c>
      <c r="P88" s="1">
        <v>15</v>
      </c>
      <c r="Q88" s="1">
        <v>45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338</v>
      </c>
      <c r="G89" s="1">
        <v>1</v>
      </c>
      <c r="H89" s="1">
        <v>1</v>
      </c>
      <c r="I89" s="12" t="s">
        <v>40</v>
      </c>
      <c r="J89" s="12" t="s">
        <v>328</v>
      </c>
      <c r="K89" s="1">
        <v>100</v>
      </c>
      <c r="L89" s="1">
        <v>2</v>
      </c>
      <c r="M89" s="1">
        <v>0</v>
      </c>
      <c r="N89" s="1">
        <f t="shared" ref="N89:N96" si="13">E89/10*3+2</f>
        <v>35</v>
      </c>
      <c r="O89" s="1">
        <v>5</v>
      </c>
      <c r="P89" s="1">
        <v>30</v>
      </c>
      <c r="Q89" s="1">
        <v>45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339</v>
      </c>
      <c r="G90" s="1">
        <v>2</v>
      </c>
      <c r="H90" s="1">
        <v>2</v>
      </c>
      <c r="I90" s="12" t="s">
        <v>27</v>
      </c>
      <c r="J90" s="12" t="s">
        <v>328</v>
      </c>
      <c r="K90" s="1">
        <v>100</v>
      </c>
      <c r="L90" s="1">
        <v>2</v>
      </c>
      <c r="M90" s="1">
        <v>0</v>
      </c>
      <c r="N90" s="1">
        <f t="shared" si="13"/>
        <v>35</v>
      </c>
      <c r="O90" s="1">
        <v>5</v>
      </c>
      <c r="P90" s="1">
        <v>30</v>
      </c>
      <c r="Q90" s="1">
        <v>45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340</v>
      </c>
      <c r="G91" s="1">
        <v>3</v>
      </c>
      <c r="H91" s="1">
        <v>3</v>
      </c>
      <c r="I91" s="12" t="s">
        <v>40</v>
      </c>
      <c r="J91" s="12" t="s">
        <v>331</v>
      </c>
      <c r="K91" s="1">
        <v>100</v>
      </c>
      <c r="L91" s="1">
        <v>2</v>
      </c>
      <c r="M91" s="1">
        <v>0</v>
      </c>
      <c r="N91" s="1">
        <f t="shared" si="13"/>
        <v>35</v>
      </c>
      <c r="O91" s="1">
        <v>5</v>
      </c>
      <c r="P91" s="1">
        <v>15</v>
      </c>
      <c r="Q91" s="1">
        <v>45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341</v>
      </c>
      <c r="G92" s="1">
        <v>4</v>
      </c>
      <c r="H92" s="1">
        <v>4</v>
      </c>
      <c r="I92" s="12" t="s">
        <v>31</v>
      </c>
      <c r="J92" s="12" t="s">
        <v>331</v>
      </c>
      <c r="K92" s="1">
        <v>100</v>
      </c>
      <c r="L92" s="1">
        <v>2</v>
      </c>
      <c r="M92" s="1">
        <v>0</v>
      </c>
      <c r="N92" s="1">
        <f t="shared" si="13"/>
        <v>35</v>
      </c>
      <c r="O92" s="1">
        <v>5</v>
      </c>
      <c r="P92" s="1">
        <v>15</v>
      </c>
      <c r="Q92" s="1">
        <v>45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342</v>
      </c>
      <c r="G93" s="1">
        <v>5</v>
      </c>
      <c r="H93" s="12" t="s">
        <v>34</v>
      </c>
      <c r="I93" s="12" t="s">
        <v>31</v>
      </c>
      <c r="J93" s="12" t="s">
        <v>334</v>
      </c>
      <c r="K93" s="1">
        <v>100</v>
      </c>
      <c r="L93" s="1">
        <v>2</v>
      </c>
      <c r="M93" s="1">
        <v>0</v>
      </c>
      <c r="N93" s="1">
        <f t="shared" si="13"/>
        <v>35</v>
      </c>
      <c r="O93" s="1">
        <v>5</v>
      </c>
      <c r="P93" s="1">
        <v>15</v>
      </c>
      <c r="Q93" s="1">
        <v>45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343</v>
      </c>
      <c r="G94" s="1">
        <v>7</v>
      </c>
      <c r="H94" s="12" t="s">
        <v>36</v>
      </c>
      <c r="I94" s="12" t="s">
        <v>40</v>
      </c>
      <c r="J94" s="12" t="s">
        <v>331</v>
      </c>
      <c r="K94" s="1">
        <v>100</v>
      </c>
      <c r="L94" s="1">
        <v>2</v>
      </c>
      <c r="M94" s="1">
        <v>0</v>
      </c>
      <c r="N94" s="1">
        <f t="shared" si="13"/>
        <v>35</v>
      </c>
      <c r="O94" s="1">
        <v>5</v>
      </c>
      <c r="P94" s="1">
        <v>15</v>
      </c>
      <c r="Q94" s="1">
        <v>45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344</v>
      </c>
      <c r="G95" s="1">
        <v>9</v>
      </c>
      <c r="H95" s="1">
        <v>9</v>
      </c>
      <c r="I95" s="12" t="s">
        <v>27</v>
      </c>
      <c r="J95" s="12" t="s">
        <v>331</v>
      </c>
      <c r="K95" s="1">
        <v>100</v>
      </c>
      <c r="L95" s="1">
        <v>2</v>
      </c>
      <c r="M95" s="1">
        <v>0</v>
      </c>
      <c r="N95" s="1">
        <f t="shared" si="13"/>
        <v>35</v>
      </c>
      <c r="O95" s="1">
        <v>5</v>
      </c>
      <c r="P95" s="1">
        <v>15</v>
      </c>
      <c r="Q95" s="1">
        <v>45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345</v>
      </c>
      <c r="G96" s="1">
        <v>10</v>
      </c>
      <c r="H96" s="1">
        <v>10</v>
      </c>
      <c r="I96" s="12" t="s">
        <v>31</v>
      </c>
      <c r="J96" s="12" t="s">
        <v>334</v>
      </c>
      <c r="K96" s="1">
        <v>100</v>
      </c>
      <c r="L96" s="1">
        <v>2</v>
      </c>
      <c r="M96" s="1">
        <v>0</v>
      </c>
      <c r="N96" s="1">
        <f t="shared" si="13"/>
        <v>35</v>
      </c>
      <c r="O96" s="1">
        <v>5</v>
      </c>
      <c r="P96" s="1">
        <v>15</v>
      </c>
      <c r="Q96" s="1">
        <v>45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346</v>
      </c>
      <c r="G97" s="1">
        <v>1</v>
      </c>
      <c r="H97" s="1">
        <v>1</v>
      </c>
      <c r="I97" s="12" t="s">
        <v>49</v>
      </c>
      <c r="J97" s="12" t="s">
        <v>328</v>
      </c>
      <c r="K97" s="1">
        <v>100</v>
      </c>
      <c r="L97" s="1">
        <v>3</v>
      </c>
      <c r="M97" s="1">
        <v>0</v>
      </c>
      <c r="N97" s="1">
        <f t="shared" ref="N97:N104" si="14">E97/10*3+3</f>
        <v>36</v>
      </c>
      <c r="O97" s="1">
        <v>5</v>
      </c>
      <c r="P97" s="1">
        <v>30</v>
      </c>
      <c r="Q97" s="1">
        <v>45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347</v>
      </c>
      <c r="G98" s="1">
        <v>2</v>
      </c>
      <c r="H98" s="1">
        <v>2</v>
      </c>
      <c r="I98" s="12" t="s">
        <v>27</v>
      </c>
      <c r="J98" s="12" t="s">
        <v>328</v>
      </c>
      <c r="K98" s="1">
        <v>100</v>
      </c>
      <c r="L98" s="1">
        <v>3</v>
      </c>
      <c r="M98" s="1">
        <v>0</v>
      </c>
      <c r="N98" s="1">
        <f t="shared" si="14"/>
        <v>36</v>
      </c>
      <c r="O98" s="1">
        <v>5</v>
      </c>
      <c r="P98" s="1">
        <v>30</v>
      </c>
      <c r="Q98" s="1">
        <v>45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348</v>
      </c>
      <c r="G99" s="1">
        <v>3</v>
      </c>
      <c r="H99" s="1">
        <v>3</v>
      </c>
      <c r="I99" s="12" t="s">
        <v>49</v>
      </c>
      <c r="J99" s="12" t="s">
        <v>331</v>
      </c>
      <c r="K99" s="1">
        <v>100</v>
      </c>
      <c r="L99" s="1">
        <v>3</v>
      </c>
      <c r="M99" s="1">
        <v>0</v>
      </c>
      <c r="N99" s="1">
        <f t="shared" si="14"/>
        <v>36</v>
      </c>
      <c r="O99" s="1">
        <v>5</v>
      </c>
      <c r="P99" s="1">
        <v>15</v>
      </c>
      <c r="Q99" s="1">
        <v>45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349</v>
      </c>
      <c r="G100" s="1">
        <v>4</v>
      </c>
      <c r="H100" s="1">
        <v>4</v>
      </c>
      <c r="I100" s="12" t="s">
        <v>31</v>
      </c>
      <c r="J100" s="12" t="s">
        <v>331</v>
      </c>
      <c r="K100" s="1">
        <v>100</v>
      </c>
      <c r="L100" s="1">
        <v>3</v>
      </c>
      <c r="M100" s="1">
        <v>0</v>
      </c>
      <c r="N100" s="1">
        <f t="shared" si="14"/>
        <v>36</v>
      </c>
      <c r="O100" s="1">
        <v>5</v>
      </c>
      <c r="P100" s="1">
        <v>15</v>
      </c>
      <c r="Q100" s="1">
        <v>45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350</v>
      </c>
      <c r="G101" s="1">
        <v>5</v>
      </c>
      <c r="H101" s="12" t="s">
        <v>34</v>
      </c>
      <c r="I101" s="12" t="s">
        <v>31</v>
      </c>
      <c r="J101" s="12" t="s">
        <v>334</v>
      </c>
      <c r="K101" s="1">
        <v>100</v>
      </c>
      <c r="L101" s="1">
        <v>3</v>
      </c>
      <c r="M101" s="1">
        <v>0</v>
      </c>
      <c r="N101" s="1">
        <f t="shared" si="14"/>
        <v>36</v>
      </c>
      <c r="O101" s="1">
        <v>5</v>
      </c>
      <c r="P101" s="1">
        <v>15</v>
      </c>
      <c r="Q101" s="1">
        <v>45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351</v>
      </c>
      <c r="G102" s="1">
        <v>7</v>
      </c>
      <c r="H102" s="12" t="s">
        <v>36</v>
      </c>
      <c r="I102" s="12" t="s">
        <v>49</v>
      </c>
      <c r="J102" s="12" t="s">
        <v>331</v>
      </c>
      <c r="K102" s="1">
        <v>100</v>
      </c>
      <c r="L102" s="1">
        <v>3</v>
      </c>
      <c r="M102" s="1">
        <v>0</v>
      </c>
      <c r="N102" s="1">
        <f t="shared" si="14"/>
        <v>36</v>
      </c>
      <c r="O102" s="1">
        <v>5</v>
      </c>
      <c r="P102" s="1">
        <v>15</v>
      </c>
      <c r="Q102" s="1">
        <v>45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352</v>
      </c>
      <c r="G103" s="1">
        <v>9</v>
      </c>
      <c r="H103" s="1">
        <v>9</v>
      </c>
      <c r="I103" s="12" t="s">
        <v>27</v>
      </c>
      <c r="J103" s="12" t="s">
        <v>331</v>
      </c>
      <c r="K103" s="1">
        <v>100</v>
      </c>
      <c r="L103" s="1">
        <v>3</v>
      </c>
      <c r="M103" s="1">
        <v>0</v>
      </c>
      <c r="N103" s="1">
        <f t="shared" si="14"/>
        <v>36</v>
      </c>
      <c r="O103" s="1">
        <v>5</v>
      </c>
      <c r="P103" s="1">
        <v>15</v>
      </c>
      <c r="Q103" s="1">
        <v>45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353</v>
      </c>
      <c r="G104" s="1">
        <v>10</v>
      </c>
      <c r="H104" s="1">
        <v>10</v>
      </c>
      <c r="I104" s="12" t="s">
        <v>31</v>
      </c>
      <c r="J104" s="12" t="s">
        <v>334</v>
      </c>
      <c r="K104" s="1">
        <v>100</v>
      </c>
      <c r="L104" s="1">
        <v>3</v>
      </c>
      <c r="M104" s="1">
        <v>0</v>
      </c>
      <c r="N104" s="1">
        <f t="shared" si="14"/>
        <v>36</v>
      </c>
      <c r="O104" s="1">
        <v>5</v>
      </c>
      <c r="P104" s="1">
        <v>15</v>
      </c>
      <c r="Q104" s="1">
        <v>45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N19" sqref="N19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354</v>
      </c>
      <c r="G6" s="1">
        <v>1</v>
      </c>
      <c r="H6" s="1">
        <v>1</v>
      </c>
      <c r="I6" s="12" t="s">
        <v>355</v>
      </c>
      <c r="J6" s="12" t="s">
        <v>356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357</v>
      </c>
      <c r="G7" s="1">
        <v>2</v>
      </c>
      <c r="H7" s="1">
        <v>2</v>
      </c>
      <c r="I7" s="12" t="s">
        <v>358</v>
      </c>
      <c r="J7" s="12" t="s">
        <v>359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workbookViewId="0">
      <selection activeCell="L30" sqref="L30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360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360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361</v>
      </c>
      <c r="L3" s="4" t="s">
        <v>362</v>
      </c>
      <c r="M3" s="4" t="s">
        <v>9</v>
      </c>
      <c r="N3" s="4" t="s">
        <v>363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364</v>
      </c>
      <c r="L4" s="4" t="s">
        <v>362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365</v>
      </c>
      <c r="G6" s="1">
        <v>4</v>
      </c>
      <c r="H6" s="1">
        <v>4</v>
      </c>
      <c r="I6" s="13" t="s">
        <v>31</v>
      </c>
      <c r="J6" s="12" t="s">
        <v>366</v>
      </c>
      <c r="K6" s="2">
        <v>1</v>
      </c>
      <c r="L6" s="2">
        <v>7</v>
      </c>
      <c r="M6" s="2">
        <v>1</v>
      </c>
      <c r="N6" s="2" t="s">
        <v>367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368</v>
      </c>
      <c r="G7" s="1">
        <v>5</v>
      </c>
      <c r="H7" s="12" t="s">
        <v>34</v>
      </c>
      <c r="I7" s="12" t="s">
        <v>369</v>
      </c>
      <c r="J7" s="12" t="s">
        <v>370</v>
      </c>
      <c r="K7" s="2">
        <v>2</v>
      </c>
      <c r="L7" s="2">
        <v>7</v>
      </c>
      <c r="M7" s="2">
        <v>1</v>
      </c>
      <c r="N7" s="2" t="s">
        <v>371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372</v>
      </c>
      <c r="G8" s="2">
        <v>2</v>
      </c>
      <c r="H8" s="2">
        <v>2</v>
      </c>
      <c r="I8" s="12" t="s">
        <v>27</v>
      </c>
      <c r="J8" s="12" t="s">
        <v>370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373</v>
      </c>
      <c r="G9" s="1">
        <v>7</v>
      </c>
      <c r="H9" s="12" t="s">
        <v>36</v>
      </c>
      <c r="I9" s="12" t="s">
        <v>31</v>
      </c>
      <c r="J9" s="12" t="s">
        <v>374</v>
      </c>
      <c r="K9" s="2">
        <v>4</v>
      </c>
      <c r="L9" s="2">
        <v>7</v>
      </c>
      <c r="M9" s="2">
        <v>1</v>
      </c>
      <c r="N9" s="2" t="s">
        <v>375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376</v>
      </c>
      <c r="G10" s="1">
        <v>3</v>
      </c>
      <c r="H10" s="1">
        <v>3</v>
      </c>
      <c r="I10" s="12" t="s">
        <v>369</v>
      </c>
      <c r="J10" s="12" t="s">
        <v>377</v>
      </c>
      <c r="K10" s="2">
        <v>5</v>
      </c>
      <c r="L10" s="2">
        <v>7</v>
      </c>
      <c r="M10" s="2">
        <v>1</v>
      </c>
      <c r="N10" s="2" t="s">
        <v>378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379</v>
      </c>
      <c r="G11" s="1">
        <v>9</v>
      </c>
      <c r="H11" s="1">
        <v>9</v>
      </c>
      <c r="I11" s="12" t="s">
        <v>27</v>
      </c>
      <c r="J11" s="12" t="s">
        <v>377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380</v>
      </c>
      <c r="G12" s="2">
        <v>1</v>
      </c>
      <c r="H12" s="2">
        <v>1</v>
      </c>
      <c r="I12" s="12" t="s">
        <v>369</v>
      </c>
      <c r="J12" s="12" t="s">
        <v>381</v>
      </c>
      <c r="K12" s="2">
        <v>7</v>
      </c>
      <c r="L12" s="2">
        <v>7</v>
      </c>
      <c r="M12" s="2">
        <v>1</v>
      </c>
      <c r="N12" s="2" t="s">
        <v>382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383</v>
      </c>
      <c r="G13" s="1">
        <v>4</v>
      </c>
      <c r="H13" s="1">
        <v>4</v>
      </c>
      <c r="I13" s="12" t="s">
        <v>31</v>
      </c>
      <c r="J13" s="12" t="s">
        <v>384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385</v>
      </c>
      <c r="G14" s="1">
        <v>10</v>
      </c>
      <c r="H14" s="1">
        <v>10</v>
      </c>
      <c r="I14" s="12" t="s">
        <v>27</v>
      </c>
      <c r="J14" s="12" t="s">
        <v>381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386</v>
      </c>
      <c r="G16" s="1">
        <v>4</v>
      </c>
      <c r="H16" s="1">
        <v>4</v>
      </c>
      <c r="I16" s="13" t="s">
        <v>369</v>
      </c>
      <c r="J16" s="13" t="s">
        <v>387</v>
      </c>
      <c r="K16" s="2">
        <v>10</v>
      </c>
      <c r="L16" s="2">
        <v>7</v>
      </c>
      <c r="M16" s="2">
        <v>1</v>
      </c>
      <c r="N16" s="2" t="s">
        <v>388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389</v>
      </c>
      <c r="G17" s="1">
        <v>3</v>
      </c>
      <c r="H17" s="1">
        <v>3</v>
      </c>
      <c r="I17" s="12" t="s">
        <v>27</v>
      </c>
      <c r="J17" s="13" t="s">
        <v>387</v>
      </c>
      <c r="K17" s="2">
        <v>11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390</v>
      </c>
      <c r="G18" s="1">
        <v>7</v>
      </c>
      <c r="H18" s="12" t="s">
        <v>36</v>
      </c>
      <c r="I18" s="12" t="s">
        <v>31</v>
      </c>
      <c r="J18" s="12" t="s">
        <v>391</v>
      </c>
      <c r="K18" s="2">
        <v>12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392</v>
      </c>
      <c r="G19" s="2">
        <v>1</v>
      </c>
      <c r="H19" s="2">
        <v>1</v>
      </c>
      <c r="I19" s="12" t="s">
        <v>369</v>
      </c>
      <c r="J19" s="12" t="s">
        <v>393</v>
      </c>
      <c r="K19" s="2">
        <v>13</v>
      </c>
      <c r="L19" s="2">
        <v>7</v>
      </c>
      <c r="M19" s="2">
        <v>1</v>
      </c>
      <c r="N19" s="2" t="s">
        <v>394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395</v>
      </c>
      <c r="G20" s="1">
        <v>5</v>
      </c>
      <c r="H20" s="12" t="s">
        <v>34</v>
      </c>
      <c r="I20" s="12" t="s">
        <v>31</v>
      </c>
      <c r="J20" s="12" t="s">
        <v>396</v>
      </c>
      <c r="K20" s="2">
        <v>14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397</v>
      </c>
      <c r="G21" s="1">
        <v>9</v>
      </c>
      <c r="H21" s="1">
        <v>9</v>
      </c>
      <c r="I21" s="12" t="s">
        <v>27</v>
      </c>
      <c r="J21" s="12" t="s">
        <v>393</v>
      </c>
      <c r="K21" s="2">
        <v>15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398</v>
      </c>
      <c r="G22" s="1">
        <v>7</v>
      </c>
      <c r="H22" s="12" t="s">
        <v>36</v>
      </c>
      <c r="I22" s="12" t="s">
        <v>369</v>
      </c>
      <c r="J22" s="12" t="s">
        <v>399</v>
      </c>
      <c r="K22" s="2">
        <v>16</v>
      </c>
      <c r="L22" s="2">
        <v>7</v>
      </c>
      <c r="M22" s="2">
        <v>1</v>
      </c>
      <c r="N22" s="2" t="s">
        <v>400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401</v>
      </c>
      <c r="G23" s="2">
        <v>2</v>
      </c>
      <c r="H23" s="2">
        <v>2</v>
      </c>
      <c r="I23" s="12" t="s">
        <v>31</v>
      </c>
      <c r="J23" s="12" t="s">
        <v>402</v>
      </c>
      <c r="K23" s="2">
        <v>17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403</v>
      </c>
      <c r="G24" s="1">
        <v>10</v>
      </c>
      <c r="H24" s="1">
        <v>10</v>
      </c>
      <c r="I24" s="12" t="s">
        <v>27</v>
      </c>
      <c r="J24" s="12" t="s">
        <v>399</v>
      </c>
      <c r="K24" s="2">
        <v>18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360</v>
      </c>
      <c r="B26" s="2" t="s">
        <v>360</v>
      </c>
      <c r="C26" s="1">
        <v>201019</v>
      </c>
      <c r="D26" s="2">
        <v>10</v>
      </c>
      <c r="E26" s="2">
        <v>10</v>
      </c>
      <c r="F26" s="2" t="s">
        <v>404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405</v>
      </c>
      <c r="O26" s="1">
        <v>0</v>
      </c>
      <c r="P26" s="1">
        <v>0</v>
      </c>
    </row>
    <row r="27" s="1" customFormat="1" customHeight="1" spans="1:16">
      <c r="A27" s="2" t="s">
        <v>360</v>
      </c>
      <c r="B27" s="2" t="s">
        <v>360</v>
      </c>
      <c r="C27" s="1">
        <v>201020</v>
      </c>
      <c r="D27" s="2">
        <v>10</v>
      </c>
      <c r="E27" s="2">
        <v>10</v>
      </c>
      <c r="F27" s="2" t="s">
        <v>406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360</v>
      </c>
      <c r="B28" s="2" t="s">
        <v>360</v>
      </c>
      <c r="C28" s="1">
        <v>201021</v>
      </c>
      <c r="D28" s="2">
        <v>10</v>
      </c>
      <c r="E28" s="2">
        <v>10</v>
      </c>
      <c r="F28" s="2" t="s">
        <v>407</v>
      </c>
      <c r="G28" s="1">
        <v>7</v>
      </c>
      <c r="H28" s="12" t="s">
        <v>36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360</v>
      </c>
      <c r="B31" s="2" t="s">
        <v>360</v>
      </c>
      <c r="C31" s="2">
        <v>211019</v>
      </c>
      <c r="D31" s="2">
        <v>10</v>
      </c>
      <c r="E31" s="2">
        <v>10</v>
      </c>
      <c r="F31" s="2" t="s">
        <v>408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409</v>
      </c>
      <c r="O31" s="1">
        <v>0</v>
      </c>
      <c r="P31" s="1">
        <v>0</v>
      </c>
    </row>
    <row r="32" s="1" customFormat="1" customHeight="1" spans="1:16">
      <c r="A32" s="2" t="s">
        <v>360</v>
      </c>
      <c r="B32" s="2" t="s">
        <v>360</v>
      </c>
      <c r="C32" s="2">
        <v>211020</v>
      </c>
      <c r="D32" s="2">
        <v>10</v>
      </c>
      <c r="E32" s="2">
        <v>10</v>
      </c>
      <c r="F32" s="2" t="s">
        <v>410</v>
      </c>
      <c r="G32" s="1">
        <v>5</v>
      </c>
      <c r="H32" s="12" t="s">
        <v>34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360</v>
      </c>
      <c r="B33" s="2" t="s">
        <v>360</v>
      </c>
      <c r="C33" s="2">
        <v>211021</v>
      </c>
      <c r="D33" s="2">
        <v>10</v>
      </c>
      <c r="E33" s="2">
        <v>10</v>
      </c>
      <c r="F33" s="2" t="s">
        <v>411</v>
      </c>
      <c r="G33" s="1">
        <v>7</v>
      </c>
      <c r="H33" s="12" t="s">
        <v>36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360</v>
      </c>
      <c r="B34" s="2" t="s">
        <v>360</v>
      </c>
      <c r="C34" s="2">
        <v>211022</v>
      </c>
      <c r="D34" s="2">
        <v>10</v>
      </c>
      <c r="E34" s="2">
        <v>10</v>
      </c>
      <c r="F34" s="2" t="s">
        <v>412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413</v>
      </c>
      <c r="O34" s="1">
        <v>0</v>
      </c>
      <c r="P34" s="1">
        <v>0</v>
      </c>
    </row>
    <row r="35" s="1" customFormat="1" customHeight="1" spans="1:16">
      <c r="A35" s="2" t="s">
        <v>360</v>
      </c>
      <c r="B35" s="2" t="s">
        <v>360</v>
      </c>
      <c r="C35" s="2">
        <v>211023</v>
      </c>
      <c r="D35" s="2">
        <v>10</v>
      </c>
      <c r="E35" s="2">
        <v>10</v>
      </c>
      <c r="F35" s="2" t="s">
        <v>414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360</v>
      </c>
      <c r="B36" s="2" t="s">
        <v>360</v>
      </c>
      <c r="C36" s="2">
        <v>211024</v>
      </c>
      <c r="D36" s="2">
        <v>10</v>
      </c>
      <c r="E36" s="2">
        <v>10</v>
      </c>
      <c r="F36" s="2" t="s">
        <v>415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360</v>
      </c>
      <c r="B37" s="2" t="s">
        <v>360</v>
      </c>
      <c r="C37" s="2">
        <v>211025</v>
      </c>
      <c r="D37" s="2">
        <v>10</v>
      </c>
      <c r="E37" s="2">
        <v>10</v>
      </c>
      <c r="F37" s="2" t="s">
        <v>416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417</v>
      </c>
      <c r="O37" s="1">
        <v>0</v>
      </c>
      <c r="P37" s="1">
        <v>0</v>
      </c>
    </row>
    <row r="38" s="1" customFormat="1" customHeight="1" spans="1:16">
      <c r="A38" s="2" t="s">
        <v>360</v>
      </c>
      <c r="B38" s="2" t="s">
        <v>360</v>
      </c>
      <c r="C38" s="2">
        <v>211026</v>
      </c>
      <c r="D38" s="2">
        <v>10</v>
      </c>
      <c r="E38" s="2">
        <v>10</v>
      </c>
      <c r="F38" s="2" t="s">
        <v>418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360</v>
      </c>
      <c r="B39" s="2" t="s">
        <v>360</v>
      </c>
      <c r="C39" s="2">
        <v>211027</v>
      </c>
      <c r="D39" s="2">
        <v>10</v>
      </c>
      <c r="E39" s="2">
        <v>10</v>
      </c>
      <c r="F39" s="2" t="s">
        <v>419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360</v>
      </c>
      <c r="B42" s="2" t="s">
        <v>360</v>
      </c>
      <c r="C42" s="2">
        <v>211031</v>
      </c>
      <c r="D42" s="2">
        <v>10</v>
      </c>
      <c r="E42" s="2">
        <v>10</v>
      </c>
      <c r="F42" s="2" t="s">
        <v>420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421</v>
      </c>
      <c r="O42" s="1">
        <v>0</v>
      </c>
      <c r="P42" s="1">
        <v>0</v>
      </c>
    </row>
    <row r="43" s="1" customFormat="1" customHeight="1" spans="1:16">
      <c r="A43" s="2" t="s">
        <v>360</v>
      </c>
      <c r="B43" s="2" t="s">
        <v>360</v>
      </c>
      <c r="C43" s="2">
        <v>211032</v>
      </c>
      <c r="D43" s="2">
        <v>10</v>
      </c>
      <c r="E43" s="2">
        <v>10</v>
      </c>
      <c r="F43" s="2" t="s">
        <v>422</v>
      </c>
      <c r="G43" s="1">
        <v>7</v>
      </c>
      <c r="H43" s="12" t="s">
        <v>36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360</v>
      </c>
      <c r="B44" s="2" t="s">
        <v>360</v>
      </c>
      <c r="C44" s="2">
        <v>211033</v>
      </c>
      <c r="D44" s="2">
        <v>10</v>
      </c>
      <c r="E44" s="2">
        <v>10</v>
      </c>
      <c r="F44" s="2" t="s">
        <v>423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360</v>
      </c>
      <c r="B45" s="2" t="s">
        <v>360</v>
      </c>
      <c r="C45" s="2">
        <v>211034</v>
      </c>
      <c r="D45" s="2">
        <v>10</v>
      </c>
      <c r="E45" s="2">
        <v>10</v>
      </c>
      <c r="F45" s="2" t="s">
        <v>424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425</v>
      </c>
      <c r="O45" s="1">
        <v>0</v>
      </c>
      <c r="P45" s="1">
        <v>0</v>
      </c>
    </row>
    <row r="46" s="1" customFormat="1" customHeight="1" spans="1:16">
      <c r="A46" s="2" t="s">
        <v>360</v>
      </c>
      <c r="B46" s="2" t="s">
        <v>360</v>
      </c>
      <c r="C46" s="2">
        <v>211035</v>
      </c>
      <c r="D46" s="2">
        <v>10</v>
      </c>
      <c r="E46" s="2">
        <v>10</v>
      </c>
      <c r="F46" s="2" t="s">
        <v>426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360</v>
      </c>
      <c r="B47" s="2" t="s">
        <v>360</v>
      </c>
      <c r="C47" s="2">
        <v>211036</v>
      </c>
      <c r="D47" s="2">
        <v>10</v>
      </c>
      <c r="E47" s="2">
        <v>10</v>
      </c>
      <c r="F47" s="2" t="s">
        <v>427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360</v>
      </c>
      <c r="B48" s="2" t="s">
        <v>360</v>
      </c>
      <c r="C48" s="2">
        <v>211037</v>
      </c>
      <c r="D48" s="2">
        <v>10</v>
      </c>
      <c r="E48" s="2">
        <v>10</v>
      </c>
      <c r="F48" s="2" t="s">
        <v>428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429</v>
      </c>
      <c r="O48" s="1">
        <v>0</v>
      </c>
      <c r="P48" s="1">
        <v>0</v>
      </c>
    </row>
    <row r="49" s="1" customFormat="1" customHeight="1" spans="1:16">
      <c r="A49" s="2" t="s">
        <v>360</v>
      </c>
      <c r="B49" s="2" t="s">
        <v>360</v>
      </c>
      <c r="C49" s="2">
        <v>211038</v>
      </c>
      <c r="D49" s="2">
        <v>10</v>
      </c>
      <c r="E49" s="2">
        <v>10</v>
      </c>
      <c r="F49" s="2" t="s">
        <v>430</v>
      </c>
      <c r="G49" s="1">
        <v>5</v>
      </c>
      <c r="H49" s="12" t="s">
        <v>34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360</v>
      </c>
      <c r="B50" s="2" t="s">
        <v>360</v>
      </c>
      <c r="C50" s="2">
        <v>211039</v>
      </c>
      <c r="D50" s="2">
        <v>10</v>
      </c>
      <c r="E50" s="2">
        <v>10</v>
      </c>
      <c r="F50" s="2" t="s">
        <v>431</v>
      </c>
      <c r="G50" s="1">
        <v>7</v>
      </c>
      <c r="H50" s="12" t="s">
        <v>36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360</v>
      </c>
      <c r="B51" s="2" t="s">
        <v>360</v>
      </c>
      <c r="C51" s="2">
        <v>211040</v>
      </c>
      <c r="D51" s="2">
        <v>10</v>
      </c>
      <c r="E51" s="2">
        <v>10</v>
      </c>
      <c r="F51" s="2" t="s">
        <v>432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433</v>
      </c>
      <c r="O51" s="1">
        <v>0</v>
      </c>
      <c r="P51" s="1">
        <v>0</v>
      </c>
    </row>
    <row r="52" s="1" customFormat="1" customHeight="1" spans="1:16">
      <c r="A52" s="2" t="s">
        <v>360</v>
      </c>
      <c r="B52" s="2" t="s">
        <v>360</v>
      </c>
      <c r="C52" s="2">
        <v>211041</v>
      </c>
      <c r="D52" s="2">
        <v>10</v>
      </c>
      <c r="E52" s="2">
        <v>10</v>
      </c>
      <c r="F52" s="2" t="s">
        <v>434</v>
      </c>
      <c r="G52" s="1">
        <v>5</v>
      </c>
      <c r="H52" s="12" t="s">
        <v>34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360</v>
      </c>
      <c r="B53" s="2" t="s">
        <v>360</v>
      </c>
      <c r="C53" s="2">
        <v>211042</v>
      </c>
      <c r="D53" s="2">
        <v>10</v>
      </c>
      <c r="E53" s="2">
        <v>10</v>
      </c>
      <c r="F53" s="2" t="s">
        <v>435</v>
      </c>
      <c r="G53" s="1">
        <v>7</v>
      </c>
      <c r="H53" s="12" t="s">
        <v>36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2026-08-05T13:23:27Z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