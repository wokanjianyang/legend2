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0-40" sheetId="7" r:id="rId1"/>
    <sheet name="50-80" sheetId="8" r:id="rId2"/>
    <sheet name="90-120" sheetId="9" r:id="rId3"/>
    <sheet name="定制" sheetId="10" r:id="rId4"/>
    <sheet name="Sheet1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<sst xmlns="http://schemas.openxmlformats.org/spreadsheetml/2006/main" count="1887" uniqueCount="443">
  <si>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</si>
  <si>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</si>
  <si>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</si>
  <si>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</si>
  <si>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</si>
  <si>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</si>
  <si>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</si>
  <si>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</si>
  <si>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</si>
  <si>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</si>
  <si>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</si>
  <si>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CardGroupId</t>
  </si>
  <si>
    <t>CardQuality</t>
  </si>
  <si>
    <t>CardAtrList</t>
  </si>
  <si>
    <t>CardVueList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</si>
  <si>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</si>
  <si>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</si>
  <si>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</si>
  <si>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</si>
  <si>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</si>
  <si>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</si>
  <si>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</si>
  <si>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</si>
  <si>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</si>
  <si>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</si>
  <si>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50,5</t>
  </si>
  <si>
    <t>4,3</t>
  </si>
  <si>
    <t>20,10</t>
  </si>
  <si>
    <t>朽木战甲</t>
  </si>
  <si>
    <t>2,1002</t>
  </si>
  <si>
    <t>4,2</t>
  </si>
  <si>
    <t>朽木战链</t>
  </si>
  <si>
    <t>25,2</t>
  </si>
  <si>
    <t>10,5</t>
  </si>
  <si>
    <t>朽木战盔</t>
  </si>
  <si>
    <t>1,1001</t>
  </si>
  <si>
    <t>500,4</t>
  </si>
  <si>
    <t>4,1</t>
  </si>
  <si>
    <t>10,100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</si>
  <si>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</si>
  <si>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</si>
  <si>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</si>
  <si>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</si>
  <si>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</si>
  <si>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</si>
  <si>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</si>
  <si>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</si>
  <si>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5,3</t>
  </si>
  <si>
    <t>朽木法甲</t>
  </si>
  <si>
    <t>5,2</t>
  </si>
  <si>
    <t>朽木法链</t>
  </si>
  <si>
    <t>朽木法盔</t>
  </si>
  <si>
    <t>5,1</t>
  </si>
  <si>
    <t>朽木法镯</t>
  </si>
  <si>
    <t>朽木法戒</t>
  </si>
  <si>
    <t>朽木法带</t>
  </si>
  <si>
    <t>朽木法靴</t>
  </si>
  <si>
    <t>朽木道刃</t>
  </si>
  <si>
    <t>6,1006</t>
  </si>
  <si>
    <t>6,3</t>
  </si>
  <si>
    <t>朽木道甲</t>
  </si>
  <si>
    <t>6,2</t>
  </si>
  <si>
    <t>朽木道链</t>
  </si>
  <si>
    <t>朽木道盔</t>
  </si>
  <si>
    <t>6,1</t>
  </si>
  <si>
    <t>朽木道镯</t>
  </si>
  <si>
    <t>朽木道戒</t>
  </si>
  <si>
    <t>朽木道带</t>
  </si>
  <si>
    <t>朽木道靴</t>
  </si>
  <si>
    <t>黑铁战刃</t>
  </si>
  <si>
    <t>200,10</t>
  </si>
  <si>
    <t>80,40</t>
  </si>
  <si>
    <t>黑铁战甲</t>
  </si>
  <si>
    <t>黑铁战链</t>
  </si>
  <si>
    <t>100,5</t>
  </si>
  <si>
    <t>40,20</t>
  </si>
  <si>
    <t>黑铁战盔</t>
  </si>
  <si>
    <t>2000,8</t>
  </si>
  <si>
    <t>40,400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</si>
  <si>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</si>
  <si>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</si>
  <si>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</si>
  <si>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</si>
  <si>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</si>
  <si>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</si>
  <si>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</si>
  <si>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</si>
  <si>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</si>
  <si>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</si>
  <si>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</si>
  <si>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</si>
  <si>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</si>
  <si>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</si>
  <si>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</si>
  <si>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</si>
  <si>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</si>
  <si>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</si>
  <si>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</si>
  <si>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</si>
  <si>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</si>
  <si>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1000,15</t>
  </si>
  <si>
    <t>400,200</t>
  </si>
  <si>
    <t>白银战甲</t>
  </si>
  <si>
    <t>白银战链</t>
  </si>
  <si>
    <t>500,8</t>
  </si>
  <si>
    <t>200,100</t>
  </si>
  <si>
    <t>白银战盔</t>
  </si>
  <si>
    <t>10000,12</t>
  </si>
  <si>
    <t>200,2000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</si>
  <si>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</si>
  <si>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</si>
  <si>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</si>
  <si>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</si>
  <si>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</si>
  <si>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</si>
  <si>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</si>
  <si>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</si>
  <si>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</si>
  <si>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</si>
  <si>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</si>
  <si>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</si>
  <si>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</si>
  <si>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</si>
  <si>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</si>
  <si>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</si>
  <si>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</si>
  <si>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</si>
  <si>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</si>
  <si>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</si>
  <si>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</si>
  <si>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5000,20</t>
  </si>
  <si>
    <t>2000,1000</t>
  </si>
  <si>
    <t>黄金战甲</t>
  </si>
  <si>
    <t>黄金战链</t>
  </si>
  <si>
    <t>2500,10</t>
  </si>
  <si>
    <t>1000,500</t>
  </si>
  <si>
    <t>黄金战盔</t>
  </si>
  <si>
    <t>50000,15</t>
  </si>
  <si>
    <t>1000,10000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</si>
  <si>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</si>
  <si>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</si>
  <si>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</si>
  <si>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</si>
  <si>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</si>
  <si>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</si>
  <si>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</si>
  <si>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</si>
  <si>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</si>
  <si>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</si>
  <si>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</si>
  <si>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</si>
  <si>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</si>
  <si>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</si>
  <si>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</si>
  <si>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</si>
  <si>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</si>
  <si>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</si>
  <si>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</si>
  <si>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</si>
  <si>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</si>
  <si>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20,5</t>
  </si>
  <si>
    <t>钻石战甲</t>
  </si>
  <si>
    <t>10,2</t>
  </si>
  <si>
    <t>钻石战链</t>
  </si>
  <si>
    <t>钻石战盔</t>
  </si>
  <si>
    <t>100,10</t>
  </si>
  <si>
    <t>10,200</t>
  </si>
  <si>
    <t>钻石战镯</t>
  </si>
  <si>
    <t>10,1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</si>
  <si>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</si>
  <si>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</si>
  <si>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</si>
  <si>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</si>
  <si>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</si>
  <si>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</si>
  <si>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</si>
  <si>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</si>
  <si>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</si>
  <si>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</si>
  <si>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</si>
  <si>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</si>
  <si>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</si>
  <si>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</si>
  <si>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</si>
  <si>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</si>
  <si>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</si>
  <si>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</si>
  <si>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</si>
  <si>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</si>
  <si>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金龙战甲</t>
  </si>
  <si>
    <t>金龙战链</t>
  </si>
  <si>
    <t>20,20</t>
  </si>
  <si>
    <t>金龙战盔</t>
  </si>
  <si>
    <t>20,400</t>
  </si>
  <si>
    <t>金龙战镯</t>
  </si>
  <si>
    <t>20,2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</si>
  <si>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</si>
  <si>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</si>
  <si>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</si>
  <si>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</si>
  <si>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</si>
  <si>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</si>
  <si>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</si>
  <si>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</si>
  <si>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</si>
  <si>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</si>
  <si>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</si>
  <si>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</si>
  <si>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</si>
  <si>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</si>
  <si>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</si>
  <si>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</si>
  <si>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</si>
  <si>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</si>
  <si>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</si>
  <si>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</si>
  <si>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60,30</t>
  </si>
  <si>
    <t>木龙战甲</t>
  </si>
  <si>
    <t>60,35</t>
  </si>
  <si>
    <t>木龙战链</t>
  </si>
  <si>
    <t>30,35</t>
  </si>
  <si>
    <t>木龙战盔</t>
  </si>
  <si>
    <t>30,600</t>
  </si>
  <si>
    <t>木龙战镯</t>
  </si>
  <si>
    <t>30,3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</si>
  <si>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</si>
  <si>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</si>
  <si>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</si>
  <si>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</si>
  <si>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</si>
  <si>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</si>
  <si>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</si>
  <si>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</si>
  <si>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</si>
  <si>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</si>
  <si>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</si>
  <si>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</si>
  <si>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</si>
  <si>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</si>
  <si>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</si>
  <si>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</si>
  <si>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</si>
  <si>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</si>
  <si>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</si>
  <si>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</si>
  <si>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</si>
  <si>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80,20</t>
  </si>
  <si>
    <t>土龙战链</t>
  </si>
  <si>
    <t>土龙战盔</t>
  </si>
  <si>
    <t>40,800</t>
  </si>
  <si>
    <t>土龙战镯</t>
  </si>
  <si>
    <t>40,4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</si>
  <si>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</si>
  <si>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</si>
  <si>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</si>
  <si>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</si>
  <si>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</si>
  <si>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</si>
  <si>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</si>
  <si>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</si>
  <si>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</si>
  <si>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</si>
  <si>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</si>
  <si>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</si>
  <si>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</si>
  <si>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</si>
  <si>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</si>
  <si>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</si>
  <si>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</si>
  <si>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</si>
  <si>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</si>
  <si>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</si>
  <si>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</si>
  <si>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</si>
  <si>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</si>
  <si>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</si>
  <si>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</si>
  <si>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</si>
  <si>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</si>
  <si>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</si>
  <si>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</si>
  <si>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</si>
  <si>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</si>
  <si>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</si>
  <si>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</si>
  <si>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</si>
  <si>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</si>
  <si>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</si>
  <si>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</si>
  <si>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</si>
  <si>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</si>
  <si>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</si>
  <si>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</si>
  <si>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</si>
  <si>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</si>
  <si>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</si>
  <si>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</si>
  <si>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</si>
  <si>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</si>
  <si>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</si>
  <si>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</si>
  <si>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</si>
  <si>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</si>
  <si>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</si>
  <si>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</si>
  <si>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</si>
  <si>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</si>
  <si>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</si>
  <si>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</si>
  <si>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</si>
  <si>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</si>
  <si>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</si>
  <si>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</si>
  <si>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</si>
  <si>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</si>
  <si>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</si>
  <si>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</si>
  <si>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</si>
  <si>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</si>
  <si>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</si>
  <si>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</si>
  <si>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</si>
  <si>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</si>
  <si>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</si>
  <si>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</si>
  <si>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</si>
  <si>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</si>
  <si>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</si>
  <si>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</si>
  <si>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</si>
  <si>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</si>
  <si>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</si>
  <si>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</si>
  <si>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</si>
  <si>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</si>
  <si>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</si>
  <si>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</si>
  <si>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</si>
  <si>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</si>
  <si>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</si>
  <si>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</si>
  <si>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</si>
  <si>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</si>
  <si>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</si>
  <si>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</si>
  <si>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</si>
  <si>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</si>
  <si>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</si>
  <si>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</si>
  <si>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</si>
  <si>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</si>
  <si>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</si>
  <si>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</si>
  <si>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</si>
  <si>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</si>
  <si>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</si>
  <si>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</si>
  <si>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</si>
  <si>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</si>
  <si>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</si>
  <si>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</si>
  <si>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</si>
  <si>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</si>
  <si>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</si>
  <si>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</si>
  <si>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</si>
  <si>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</si>
  <si>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</si>
  <si>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</si>
  <si>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</si>
  <si>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</si>
  <si>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</si>
  <si>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</si>
  <si>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</si>
  <si>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</si>
  <si>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</si>
  <si>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</si>
  <si>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</si>
  <si>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治愈之面</t>
  </si>
  <si>
    <t>3,1003</t>
  </si>
  <si>
    <t>500,20</t>
  </si>
  <si>
    <t>回复效果提高100%</t>
  </si>
  <si>
    <t>治愈之镯</t>
  </si>
  <si>
    <t>5000,40</t>
  </si>
  <si>
    <t>减伤，诅咒，闪避</t>
  </si>
  <si>
    <t>治愈之甲</t>
  </si>
  <si>
    <t>财富之袍</t>
  </si>
  <si>
    <t>20000,60</t>
  </si>
  <si>
    <t>金币加成增加20%</t>
  </si>
  <si>
    <t>财富之链</t>
  </si>
  <si>
    <t>2000,30</t>
  </si>
  <si>
    <t>杀敌金币，杀敌金币，杀敌金币，</t>
  </si>
  <si>
    <t>财富之带</t>
  </si>
  <si>
    <t>修炼之袍</t>
  </si>
  <si>
    <t>10000,40</t>
  </si>
  <si>
    <t>经验加成增加20%</t>
  </si>
  <si>
    <t>修炼之面</t>
  </si>
  <si>
    <t>100000,80</t>
  </si>
  <si>
    <t>修炼之靴</t>
  </si>
  <si>
    <t>神速之链</t>
  </si>
  <si>
    <t>攻速增加10%，冷却增加10%</t>
  </si>
  <si>
    <t>神速之带</t>
  </si>
  <si>
    <t>神速之靴</t>
  </si>
  <si>
    <t>重击之刃</t>
  </si>
  <si>
    <t>此次攻击概率翻倍</t>
  </si>
  <si>
    <t>重击之链</t>
  </si>
  <si>
    <t>重击之戒</t>
  </si>
  <si>
    <t>暴击之剑</t>
  </si>
  <si>
    <t>如果此次攻击暴击了，伤害额外翻倍</t>
  </si>
  <si>
    <t>暴击之链</t>
  </si>
  <si>
    <t>暴击之戒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</si>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</sst>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0" fillId="0" borderId="0" xfId="0" applyBorder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workbookViewId="0">
      <selection activeCell="L3" sqref="L3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8"/>
      <c r="C3" s="9" t="s">
        <v>0</v>
      </c>
      <c r="D3" s="9" t="s">
        <v>1</v>
      </c>
      <c r="E3" s="9" t="s">
        <v>2</v>
      </c>
      <c r="F3" s="9" t="s">
        <v>3</v>
      </c>
      <c r="G3" s="9" t="s">
        <v>4</v>
      </c>
      <c r="H3" s="9" t="s">
        <v>5</v>
      </c>
      <c r="I3" s="10" t="s">
        <v>6</v>
      </c>
      <c r="J3" s="11" t="s">
        <v>7</v>
      </c>
      <c r="K3" s="9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</row>
    <row r="4" s="1" customFormat="1" customHeight="1" spans="1:17">
      <c r="A4" s="8"/>
      <c r="C4" s="9" t="s">
        <v>15</v>
      </c>
      <c r="D4" s="9" t="s">
        <v>1</v>
      </c>
      <c r="E4" s="9" t="s">
        <v>2</v>
      </c>
      <c r="F4" s="9" t="s">
        <v>3</v>
      </c>
      <c r="G4" s="9" t="s">
        <v>4</v>
      </c>
      <c r="H4" s="9" t="s">
        <v>5</v>
      </c>
      <c r="I4" s="10" t="s">
        <v>16</v>
      </c>
      <c r="J4" s="11" t="s">
        <v>17</v>
      </c>
      <c r="K4" s="9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</row>
    <row r="5" s="1" customFormat="1" customHeight="1" spans="1:17">
      <c r="A5" s="8"/>
      <c r="C5" s="9" t="s">
        <v>18</v>
      </c>
      <c r="D5" s="9" t="s">
        <v>18</v>
      </c>
      <c r="E5" s="9" t="s">
        <v>18</v>
      </c>
      <c r="F5" s="9" t="s">
        <v>19</v>
      </c>
      <c r="G5" s="9" t="s">
        <v>18</v>
      </c>
      <c r="H5" s="9" t="s">
        <v>20</v>
      </c>
      <c r="I5" s="10" t="s">
        <v>20</v>
      </c>
      <c r="J5" s="11" t="s">
        <v>21</v>
      </c>
      <c r="K5" s="9" t="s">
        <v>22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20</v>
      </c>
      <c r="Q5" s="9" t="s">
        <v>20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12" t="s">
        <v>24</v>
      </c>
      <c r="J6" s="12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2" t="s">
        <v>26</v>
      </c>
      <c r="Q6" s="12" t="s">
        <v>27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28</v>
      </c>
      <c r="G7" s="1">
        <v>2</v>
      </c>
      <c r="H7" s="1">
        <v>2</v>
      </c>
      <c r="I7" s="12" t="s">
        <v>29</v>
      </c>
      <c r="J7" s="12" t="s">
        <v>25</v>
      </c>
      <c r="K7" s="1">
        <v>300</v>
      </c>
      <c r="L7" s="1">
        <v>1</v>
      </c>
      <c r="M7" s="1">
        <v>0</v>
      </c>
      <c r="N7" s="1">
        <v>1</v>
      </c>
      <c r="O7" s="1">
        <v>5</v>
      </c>
      <c r="P7" s="12" t="s">
        <v>30</v>
      </c>
      <c r="Q7" s="12" t="s">
        <v>27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31</v>
      </c>
      <c r="G8" s="1">
        <v>3</v>
      </c>
      <c r="H8" s="1">
        <v>3</v>
      </c>
      <c r="I8" s="12" t="s">
        <v>24</v>
      </c>
      <c r="J8" s="12" t="s">
        <v>32</v>
      </c>
      <c r="K8" s="1">
        <v>100</v>
      </c>
      <c r="L8" s="1">
        <v>1</v>
      </c>
      <c r="M8" s="1">
        <v>0</v>
      </c>
      <c r="N8" s="1">
        <v>1</v>
      </c>
      <c r="O8" s="1">
        <v>5</v>
      </c>
      <c r="P8" s="12" t="s">
        <v>26</v>
      </c>
      <c r="Q8" s="12" t="s">
        <v>33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34</v>
      </c>
      <c r="G9" s="1">
        <v>4</v>
      </c>
      <c r="H9" s="1">
        <v>4</v>
      </c>
      <c r="I9" s="12" t="s">
        <v>35</v>
      </c>
      <c r="J9" s="12" t="s">
        <v>36</v>
      </c>
      <c r="K9" s="1">
        <v>100</v>
      </c>
      <c r="L9" s="1">
        <v>1</v>
      </c>
      <c r="M9" s="1">
        <v>0</v>
      </c>
      <c r="N9" s="1">
        <v>1</v>
      </c>
      <c r="O9" s="1">
        <v>5</v>
      </c>
      <c r="P9" s="12" t="s">
        <v>37</v>
      </c>
      <c r="Q9" s="12" t="s">
        <v>38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39</v>
      </c>
      <c r="G10" s="1">
        <v>5</v>
      </c>
      <c r="H10" s="12" t="s">
        <v>40</v>
      </c>
      <c r="I10" s="12" t="s">
        <v>35</v>
      </c>
      <c r="J10" s="12" t="s">
        <v>36</v>
      </c>
      <c r="K10" s="1">
        <v>100</v>
      </c>
      <c r="L10" s="1">
        <v>1</v>
      </c>
      <c r="M10" s="1">
        <v>0</v>
      </c>
      <c r="N10" s="1">
        <v>1</v>
      </c>
      <c r="O10" s="1">
        <v>5</v>
      </c>
      <c r="P10" s="12" t="s">
        <v>30</v>
      </c>
      <c r="Q10" s="12" t="s">
        <v>33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41</v>
      </c>
      <c r="G11" s="1">
        <v>7</v>
      </c>
      <c r="H11" s="12" t="s">
        <v>42</v>
      </c>
      <c r="I11" s="12" t="s">
        <v>24</v>
      </c>
      <c r="J11" s="12" t="s">
        <v>32</v>
      </c>
      <c r="K11" s="1">
        <v>100</v>
      </c>
      <c r="L11" s="1">
        <v>1</v>
      </c>
      <c r="M11" s="1">
        <v>0</v>
      </c>
      <c r="N11" s="1">
        <v>1</v>
      </c>
      <c r="O11" s="1">
        <v>5</v>
      </c>
      <c r="P11" s="12" t="s">
        <v>26</v>
      </c>
      <c r="Q11" s="12" t="s">
        <v>33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43</v>
      </c>
      <c r="G12" s="1">
        <v>9</v>
      </c>
      <c r="H12" s="1">
        <v>9</v>
      </c>
      <c r="I12" s="12" t="s">
        <v>29</v>
      </c>
      <c r="J12" s="12" t="s">
        <v>32</v>
      </c>
      <c r="K12" s="1">
        <v>100</v>
      </c>
      <c r="L12" s="1">
        <v>1</v>
      </c>
      <c r="M12" s="1">
        <v>0</v>
      </c>
      <c r="N12" s="1">
        <v>1</v>
      </c>
      <c r="O12" s="1">
        <v>5</v>
      </c>
      <c r="P12" s="12" t="s">
        <v>37</v>
      </c>
      <c r="Q12" s="12" t="s">
        <v>38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44</v>
      </c>
      <c r="G13" s="1">
        <v>10</v>
      </c>
      <c r="H13" s="1">
        <v>10</v>
      </c>
      <c r="I13" s="12" t="s">
        <v>24</v>
      </c>
      <c r="J13" s="12" t="s">
        <v>32</v>
      </c>
      <c r="K13" s="1">
        <v>100</v>
      </c>
      <c r="L13" s="1">
        <v>1</v>
      </c>
      <c r="M13" s="1">
        <v>0</v>
      </c>
      <c r="N13" s="1">
        <v>1</v>
      </c>
      <c r="O13" s="1">
        <v>5</v>
      </c>
      <c r="P13" s="12" t="s">
        <v>26</v>
      </c>
      <c r="Q13" s="12" t="s">
        <v>33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45</v>
      </c>
      <c r="G14" s="1">
        <v>1</v>
      </c>
      <c r="H14" s="1">
        <v>1</v>
      </c>
      <c r="I14" s="12" t="s">
        <v>46</v>
      </c>
      <c r="J14" s="12" t="s">
        <v>25</v>
      </c>
      <c r="K14" s="1">
        <v>300</v>
      </c>
      <c r="L14" s="1">
        <v>2</v>
      </c>
      <c r="M14" s="1">
        <v>0</v>
      </c>
      <c r="N14" s="1">
        <v>2</v>
      </c>
      <c r="O14" s="1">
        <v>5</v>
      </c>
      <c r="P14" s="12" t="s">
        <v>47</v>
      </c>
      <c r="Q14" s="12" t="s">
        <v>27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48</v>
      </c>
      <c r="G15" s="1">
        <v>2</v>
      </c>
      <c r="H15" s="1">
        <v>2</v>
      </c>
      <c r="I15" s="12" t="s">
        <v>29</v>
      </c>
      <c r="J15" s="12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2" t="s">
        <v>49</v>
      </c>
      <c r="Q15" s="12" t="s">
        <v>27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50</v>
      </c>
      <c r="G16" s="1">
        <v>3</v>
      </c>
      <c r="H16" s="1">
        <v>3</v>
      </c>
      <c r="I16" s="12" t="s">
        <v>46</v>
      </c>
      <c r="J16" s="12" t="s">
        <v>32</v>
      </c>
      <c r="K16" s="1">
        <v>100</v>
      </c>
      <c r="L16" s="1">
        <v>2</v>
      </c>
      <c r="M16" s="1">
        <v>0</v>
      </c>
      <c r="N16" s="1">
        <v>2</v>
      </c>
      <c r="O16" s="1">
        <v>5</v>
      </c>
      <c r="P16" s="12" t="s">
        <v>47</v>
      </c>
      <c r="Q16" s="12" t="s">
        <v>33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51</v>
      </c>
      <c r="G17" s="1">
        <v>4</v>
      </c>
      <c r="H17" s="1">
        <v>4</v>
      </c>
      <c r="I17" s="12" t="s">
        <v>35</v>
      </c>
      <c r="J17" s="12" t="s">
        <v>36</v>
      </c>
      <c r="K17" s="1">
        <v>100</v>
      </c>
      <c r="L17" s="1">
        <v>2</v>
      </c>
      <c r="M17" s="1">
        <v>0</v>
      </c>
      <c r="N17" s="1">
        <v>2</v>
      </c>
      <c r="O17" s="1">
        <v>5</v>
      </c>
      <c r="P17" s="12" t="s">
        <v>52</v>
      </c>
      <c r="Q17" s="12" t="s">
        <v>38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53</v>
      </c>
      <c r="G18" s="1">
        <v>5</v>
      </c>
      <c r="H18" s="12" t="s">
        <v>40</v>
      </c>
      <c r="I18" s="12" t="s">
        <v>35</v>
      </c>
      <c r="J18" s="12" t="s">
        <v>36</v>
      </c>
      <c r="K18" s="1">
        <v>100</v>
      </c>
      <c r="L18" s="1">
        <v>2</v>
      </c>
      <c r="M18" s="1">
        <v>0</v>
      </c>
      <c r="N18" s="1">
        <v>2</v>
      </c>
      <c r="O18" s="1">
        <v>5</v>
      </c>
      <c r="P18" s="12" t="s">
        <v>49</v>
      </c>
      <c r="Q18" s="12" t="s">
        <v>33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54</v>
      </c>
      <c r="G19" s="1">
        <v>7</v>
      </c>
      <c r="H19" s="12" t="s">
        <v>42</v>
      </c>
      <c r="I19" s="12" t="s">
        <v>46</v>
      </c>
      <c r="J19" s="12" t="s">
        <v>32</v>
      </c>
      <c r="K19" s="1">
        <v>100</v>
      </c>
      <c r="L19" s="1">
        <v>2</v>
      </c>
      <c r="M19" s="1">
        <v>0</v>
      </c>
      <c r="N19" s="1">
        <v>2</v>
      </c>
      <c r="O19" s="1">
        <v>5</v>
      </c>
      <c r="P19" s="12" t="s">
        <v>47</v>
      </c>
      <c r="Q19" s="12" t="s">
        <v>33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55</v>
      </c>
      <c r="G20" s="1">
        <v>9</v>
      </c>
      <c r="H20" s="1">
        <v>9</v>
      </c>
      <c r="I20" s="12" t="s">
        <v>29</v>
      </c>
      <c r="J20" s="12" t="s">
        <v>32</v>
      </c>
      <c r="K20" s="1">
        <v>100</v>
      </c>
      <c r="L20" s="1">
        <v>2</v>
      </c>
      <c r="M20" s="1">
        <v>0</v>
      </c>
      <c r="N20" s="1">
        <v>2</v>
      </c>
      <c r="O20" s="1">
        <v>5</v>
      </c>
      <c r="P20" s="12" t="s">
        <v>52</v>
      </c>
      <c r="Q20" s="12" t="s">
        <v>38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56</v>
      </c>
      <c r="G21" s="1">
        <v>10</v>
      </c>
      <c r="H21" s="1">
        <v>10</v>
      </c>
      <c r="I21" s="12" t="s">
        <v>46</v>
      </c>
      <c r="J21" s="12" t="s">
        <v>32</v>
      </c>
      <c r="K21" s="1">
        <v>100</v>
      </c>
      <c r="L21" s="1">
        <v>2</v>
      </c>
      <c r="M21" s="1">
        <v>0</v>
      </c>
      <c r="N21" s="1">
        <v>2</v>
      </c>
      <c r="O21" s="1">
        <v>5</v>
      </c>
      <c r="P21" s="12" t="s">
        <v>47</v>
      </c>
      <c r="Q21" s="12" t="s">
        <v>33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57</v>
      </c>
      <c r="G22" s="1">
        <v>1</v>
      </c>
      <c r="H22" s="1">
        <v>1</v>
      </c>
      <c r="I22" s="12" t="s">
        <v>58</v>
      </c>
      <c r="J22" s="12" t="s">
        <v>25</v>
      </c>
      <c r="K22" s="1">
        <v>300</v>
      </c>
      <c r="L22" s="1">
        <v>3</v>
      </c>
      <c r="M22" s="1">
        <v>0</v>
      </c>
      <c r="N22" s="1">
        <v>3</v>
      </c>
      <c r="O22" s="1">
        <v>5</v>
      </c>
      <c r="P22" s="12" t="s">
        <v>59</v>
      </c>
      <c r="Q22" s="12" t="s">
        <v>27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60</v>
      </c>
      <c r="G23" s="1">
        <v>2</v>
      </c>
      <c r="H23" s="1">
        <v>2</v>
      </c>
      <c r="I23" s="12" t="s">
        <v>29</v>
      </c>
      <c r="J23" s="12" t="s">
        <v>25</v>
      </c>
      <c r="K23" s="1">
        <v>300</v>
      </c>
      <c r="L23" s="1">
        <v>3</v>
      </c>
      <c r="M23" s="1">
        <v>0</v>
      </c>
      <c r="N23" s="1">
        <v>3</v>
      </c>
      <c r="O23" s="1">
        <v>5</v>
      </c>
      <c r="P23" s="12" t="s">
        <v>61</v>
      </c>
      <c r="Q23" s="12" t="s">
        <v>27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62</v>
      </c>
      <c r="G24" s="1">
        <v>3</v>
      </c>
      <c r="H24" s="1">
        <v>3</v>
      </c>
      <c r="I24" s="12" t="s">
        <v>58</v>
      </c>
      <c r="J24" s="12" t="s">
        <v>32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2" t="s">
        <v>59</v>
      </c>
      <c r="Q24" s="12" t="s">
        <v>33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63</v>
      </c>
      <c r="G25" s="1">
        <v>4</v>
      </c>
      <c r="H25" s="1">
        <v>4</v>
      </c>
      <c r="I25" s="12" t="s">
        <v>35</v>
      </c>
      <c r="J25" s="12" t="s">
        <v>36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2" t="s">
        <v>64</v>
      </c>
      <c r="Q25" s="12" t="s">
        <v>38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65</v>
      </c>
      <c r="G26" s="1">
        <v>5</v>
      </c>
      <c r="H26" s="12" t="s">
        <v>40</v>
      </c>
      <c r="I26" s="12" t="s">
        <v>35</v>
      </c>
      <c r="J26" s="12" t="s">
        <v>36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2" t="s">
        <v>61</v>
      </c>
      <c r="Q26" s="12" t="s">
        <v>33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66</v>
      </c>
      <c r="G27" s="1">
        <v>7</v>
      </c>
      <c r="H27" s="12" t="s">
        <v>42</v>
      </c>
      <c r="I27" s="12" t="s">
        <v>58</v>
      </c>
      <c r="J27" s="12" t="s">
        <v>32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2" t="s">
        <v>59</v>
      </c>
      <c r="Q27" s="12" t="s">
        <v>33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67</v>
      </c>
      <c r="G28" s="1">
        <v>9</v>
      </c>
      <c r="H28" s="1">
        <v>9</v>
      </c>
      <c r="I28" s="12" t="s">
        <v>29</v>
      </c>
      <c r="J28" s="12" t="s">
        <v>32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2" t="s">
        <v>64</v>
      </c>
      <c r="Q28" s="12" t="s">
        <v>38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68</v>
      </c>
      <c r="G29" s="1">
        <v>10</v>
      </c>
      <c r="H29" s="1">
        <v>10</v>
      </c>
      <c r="I29" s="12" t="s">
        <v>58</v>
      </c>
      <c r="J29" s="12" t="s">
        <v>32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2" t="s">
        <v>59</v>
      </c>
      <c r="Q29" s="12" t="s">
        <v>33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69</v>
      </c>
      <c r="G31" s="1">
        <v>1</v>
      </c>
      <c r="H31" s="1">
        <v>1</v>
      </c>
      <c r="I31" s="12" t="s">
        <v>24</v>
      </c>
      <c r="J31" s="12" t="s">
        <v>70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12" t="s">
        <v>26</v>
      </c>
      <c r="Q31" s="12" t="s">
        <v>71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72</v>
      </c>
      <c r="G32" s="1">
        <v>2</v>
      </c>
      <c r="H32" s="1">
        <v>2</v>
      </c>
      <c r="I32" s="12" t="s">
        <v>29</v>
      </c>
      <c r="J32" s="12" t="s">
        <v>70</v>
      </c>
      <c r="K32" s="1">
        <v>600</v>
      </c>
      <c r="L32" s="1">
        <v>1</v>
      </c>
      <c r="M32" s="1">
        <v>0</v>
      </c>
      <c r="N32" s="1">
        <v>4</v>
      </c>
      <c r="O32" s="1">
        <v>5</v>
      </c>
      <c r="P32" s="12" t="s">
        <v>30</v>
      </c>
      <c r="Q32" s="12" t="s">
        <v>71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73</v>
      </c>
      <c r="G33" s="1">
        <v>3</v>
      </c>
      <c r="H33" s="1">
        <v>3</v>
      </c>
      <c r="I33" s="12" t="s">
        <v>24</v>
      </c>
      <c r="J33" s="12" t="s">
        <v>74</v>
      </c>
      <c r="K33" s="1">
        <v>200</v>
      </c>
      <c r="L33" s="1">
        <v>1</v>
      </c>
      <c r="M33" s="1">
        <v>0</v>
      </c>
      <c r="N33" s="1">
        <v>4</v>
      </c>
      <c r="O33" s="1">
        <v>5</v>
      </c>
      <c r="P33" s="12" t="s">
        <v>26</v>
      </c>
      <c r="Q33" s="12" t="s">
        <v>75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76</v>
      </c>
      <c r="G34" s="1">
        <v>4</v>
      </c>
      <c r="H34" s="1">
        <v>4</v>
      </c>
      <c r="I34" s="12" t="s">
        <v>35</v>
      </c>
      <c r="J34" s="12" t="s">
        <v>77</v>
      </c>
      <c r="K34" s="1">
        <v>200</v>
      </c>
      <c r="L34" s="1">
        <v>1</v>
      </c>
      <c r="M34" s="1">
        <v>0</v>
      </c>
      <c r="N34" s="1">
        <v>4</v>
      </c>
      <c r="O34" s="1">
        <v>5</v>
      </c>
      <c r="P34" s="12" t="s">
        <v>37</v>
      </c>
      <c r="Q34" s="12" t="s">
        <v>78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79</v>
      </c>
      <c r="G35" s="1">
        <v>5</v>
      </c>
      <c r="H35" s="12" t="s">
        <v>40</v>
      </c>
      <c r="I35" s="12" t="s">
        <v>35</v>
      </c>
      <c r="J35" s="12" t="s">
        <v>77</v>
      </c>
      <c r="K35" s="1">
        <v>200</v>
      </c>
      <c r="L35" s="1">
        <v>1</v>
      </c>
      <c r="M35" s="1">
        <v>0</v>
      </c>
      <c r="N35" s="1">
        <v>4</v>
      </c>
      <c r="O35" s="1">
        <v>5</v>
      </c>
      <c r="P35" s="12" t="s">
        <v>30</v>
      </c>
      <c r="Q35" s="12" t="s">
        <v>75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80</v>
      </c>
      <c r="G36" s="1">
        <v>7</v>
      </c>
      <c r="H36" s="12" t="s">
        <v>42</v>
      </c>
      <c r="I36" s="12" t="s">
        <v>24</v>
      </c>
      <c r="J36" s="12" t="s">
        <v>74</v>
      </c>
      <c r="K36" s="1">
        <v>200</v>
      </c>
      <c r="L36" s="1">
        <v>1</v>
      </c>
      <c r="M36" s="1">
        <v>0</v>
      </c>
      <c r="N36" s="1">
        <v>4</v>
      </c>
      <c r="O36" s="1">
        <v>5</v>
      </c>
      <c r="P36" s="12" t="s">
        <v>26</v>
      </c>
      <c r="Q36" s="12" t="s">
        <v>75</v>
      </c>
    </row>
    <row r="37" customHeight="1" spans="3:17">
      <c r="C37" s="1">
        <v>210017</v>
      </c>
      <c r="D37" s="1">
        <v>1</v>
      </c>
      <c r="E37" s="1">
        <v>10</v>
      </c>
      <c r="F37" s="1" t="s">
        <v>81</v>
      </c>
      <c r="G37" s="1">
        <v>9</v>
      </c>
      <c r="H37" s="1">
        <v>9</v>
      </c>
      <c r="I37" s="12" t="s">
        <v>29</v>
      </c>
      <c r="J37" s="12" t="s">
        <v>74</v>
      </c>
      <c r="K37" s="1">
        <v>200</v>
      </c>
      <c r="L37" s="1">
        <v>1</v>
      </c>
      <c r="M37" s="1">
        <v>0</v>
      </c>
      <c r="N37" s="1">
        <v>4</v>
      </c>
      <c r="O37" s="1">
        <v>5</v>
      </c>
      <c r="P37" s="12" t="s">
        <v>37</v>
      </c>
      <c r="Q37" s="12" t="s">
        <v>78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82</v>
      </c>
      <c r="G38" s="1">
        <v>10</v>
      </c>
      <c r="H38" s="1">
        <v>10</v>
      </c>
      <c r="I38" s="12" t="s">
        <v>24</v>
      </c>
      <c r="J38" s="12" t="s">
        <v>74</v>
      </c>
      <c r="K38" s="1">
        <v>200</v>
      </c>
      <c r="L38" s="1">
        <v>1</v>
      </c>
      <c r="M38" s="1">
        <v>0</v>
      </c>
      <c r="N38" s="1">
        <v>4</v>
      </c>
      <c r="O38" s="1">
        <v>5</v>
      </c>
      <c r="P38" s="12" t="s">
        <v>26</v>
      </c>
      <c r="Q38" s="12" t="s">
        <v>75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83</v>
      </c>
      <c r="G39" s="1">
        <v>1</v>
      </c>
      <c r="H39" s="1">
        <v>1</v>
      </c>
      <c r="I39" s="12" t="s">
        <v>46</v>
      </c>
      <c r="J39" s="12" t="s">
        <v>70</v>
      </c>
      <c r="K39" s="1">
        <v>600</v>
      </c>
      <c r="L39" s="1">
        <v>2</v>
      </c>
      <c r="M39" s="1">
        <v>0</v>
      </c>
      <c r="N39" s="1">
        <v>5</v>
      </c>
      <c r="O39" s="1">
        <v>5</v>
      </c>
      <c r="P39" s="12" t="s">
        <v>47</v>
      </c>
      <c r="Q39" s="12" t="s">
        <v>71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84</v>
      </c>
      <c r="G40" s="1">
        <v>2</v>
      </c>
      <c r="H40" s="1">
        <v>2</v>
      </c>
      <c r="I40" s="12" t="s">
        <v>29</v>
      </c>
      <c r="J40" s="12" t="s">
        <v>70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12" t="s">
        <v>49</v>
      </c>
      <c r="Q40" s="12" t="s">
        <v>71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85</v>
      </c>
      <c r="G41" s="1">
        <v>3</v>
      </c>
      <c r="H41" s="1">
        <v>3</v>
      </c>
      <c r="I41" s="12" t="s">
        <v>46</v>
      </c>
      <c r="J41" s="12" t="s">
        <v>74</v>
      </c>
      <c r="K41" s="1">
        <v>200</v>
      </c>
      <c r="L41" s="1">
        <v>2</v>
      </c>
      <c r="M41" s="1">
        <v>0</v>
      </c>
      <c r="N41" s="1">
        <v>5</v>
      </c>
      <c r="O41" s="1">
        <v>5</v>
      </c>
      <c r="P41" s="12" t="s">
        <v>47</v>
      </c>
      <c r="Q41" s="12" t="s">
        <v>75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86</v>
      </c>
      <c r="G42" s="1">
        <v>4</v>
      </c>
      <c r="H42" s="1">
        <v>4</v>
      </c>
      <c r="I42" s="12" t="s">
        <v>35</v>
      </c>
      <c r="J42" s="12" t="s">
        <v>77</v>
      </c>
      <c r="K42" s="1">
        <v>200</v>
      </c>
      <c r="L42" s="1">
        <v>2</v>
      </c>
      <c r="M42" s="1">
        <v>0</v>
      </c>
      <c r="N42" s="1">
        <v>5</v>
      </c>
      <c r="O42" s="1">
        <v>5</v>
      </c>
      <c r="P42" s="12" t="s">
        <v>52</v>
      </c>
      <c r="Q42" s="12" t="s">
        <v>78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87</v>
      </c>
      <c r="G43" s="1">
        <v>5</v>
      </c>
      <c r="H43" s="12" t="s">
        <v>40</v>
      </c>
      <c r="I43" s="12" t="s">
        <v>35</v>
      </c>
      <c r="J43" s="12" t="s">
        <v>77</v>
      </c>
      <c r="K43" s="1">
        <v>200</v>
      </c>
      <c r="L43" s="1">
        <v>2</v>
      </c>
      <c r="M43" s="1">
        <v>0</v>
      </c>
      <c r="N43" s="1">
        <v>5</v>
      </c>
      <c r="O43" s="1">
        <v>5</v>
      </c>
      <c r="P43" s="12" t="s">
        <v>49</v>
      </c>
      <c r="Q43" s="12" t="s">
        <v>75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88</v>
      </c>
      <c r="G44" s="1">
        <v>7</v>
      </c>
      <c r="H44" s="12" t="s">
        <v>42</v>
      </c>
      <c r="I44" s="12" t="s">
        <v>46</v>
      </c>
      <c r="J44" s="12" t="s">
        <v>74</v>
      </c>
      <c r="K44" s="1">
        <v>200</v>
      </c>
      <c r="L44" s="1">
        <v>2</v>
      </c>
      <c r="M44" s="1">
        <v>0</v>
      </c>
      <c r="N44" s="1">
        <v>5</v>
      </c>
      <c r="O44" s="1">
        <v>5</v>
      </c>
      <c r="P44" s="12" t="s">
        <v>47</v>
      </c>
      <c r="Q44" s="12" t="s">
        <v>75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89</v>
      </c>
      <c r="G45" s="1">
        <v>9</v>
      </c>
      <c r="H45" s="1">
        <v>9</v>
      </c>
      <c r="I45" s="12" t="s">
        <v>29</v>
      </c>
      <c r="J45" s="12" t="s">
        <v>74</v>
      </c>
      <c r="K45" s="1">
        <v>200</v>
      </c>
      <c r="L45" s="1">
        <v>2</v>
      </c>
      <c r="M45" s="1">
        <v>0</v>
      </c>
      <c r="N45" s="1">
        <v>5</v>
      </c>
      <c r="O45" s="1">
        <v>5</v>
      </c>
      <c r="P45" s="12" t="s">
        <v>52</v>
      </c>
      <c r="Q45" s="12" t="s">
        <v>78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90</v>
      </c>
      <c r="G46" s="1">
        <v>10</v>
      </c>
      <c r="H46" s="1">
        <v>10</v>
      </c>
      <c r="I46" s="12" t="s">
        <v>46</v>
      </c>
      <c r="J46" s="12" t="s">
        <v>74</v>
      </c>
      <c r="K46" s="1">
        <v>200</v>
      </c>
      <c r="L46" s="1">
        <v>2</v>
      </c>
      <c r="M46" s="1">
        <v>0</v>
      </c>
      <c r="N46" s="1">
        <v>5</v>
      </c>
      <c r="O46" s="1">
        <v>5</v>
      </c>
      <c r="P46" s="12" t="s">
        <v>47</v>
      </c>
      <c r="Q46" s="12" t="s">
        <v>75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91</v>
      </c>
      <c r="G47" s="1">
        <v>1</v>
      </c>
      <c r="H47" s="1">
        <v>1</v>
      </c>
      <c r="I47" s="12" t="s">
        <v>58</v>
      </c>
      <c r="J47" s="12" t="s">
        <v>70</v>
      </c>
      <c r="K47" s="1">
        <v>600</v>
      </c>
      <c r="L47" s="1">
        <v>3</v>
      </c>
      <c r="M47" s="1">
        <v>0</v>
      </c>
      <c r="N47" s="1">
        <v>6</v>
      </c>
      <c r="O47" s="1">
        <v>5</v>
      </c>
      <c r="P47" s="12" t="s">
        <v>59</v>
      </c>
      <c r="Q47" s="12" t="s">
        <v>71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92</v>
      </c>
      <c r="G48" s="1">
        <v>2</v>
      </c>
      <c r="H48" s="1">
        <v>2</v>
      </c>
      <c r="I48" s="12" t="s">
        <v>29</v>
      </c>
      <c r="J48" s="12" t="s">
        <v>70</v>
      </c>
      <c r="K48" s="1">
        <v>600</v>
      </c>
      <c r="L48" s="1">
        <v>3</v>
      </c>
      <c r="M48" s="1">
        <v>0</v>
      </c>
      <c r="N48" s="1">
        <v>6</v>
      </c>
      <c r="O48" s="1">
        <v>5</v>
      </c>
      <c r="P48" s="12" t="s">
        <v>61</v>
      </c>
      <c r="Q48" s="12" t="s">
        <v>71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93</v>
      </c>
      <c r="G49" s="1">
        <v>3</v>
      </c>
      <c r="H49" s="1">
        <v>3</v>
      </c>
      <c r="I49" s="12" t="s">
        <v>58</v>
      </c>
      <c r="J49" s="12" t="s">
        <v>74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12" t="s">
        <v>59</v>
      </c>
      <c r="Q49" s="12" t="s">
        <v>75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94</v>
      </c>
      <c r="G50" s="1">
        <v>4</v>
      </c>
      <c r="H50" s="1">
        <v>4</v>
      </c>
      <c r="I50" s="12" t="s">
        <v>35</v>
      </c>
      <c r="J50" s="12" t="s">
        <v>77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12" t="s">
        <v>64</v>
      </c>
      <c r="Q50" s="12" t="s">
        <v>78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95</v>
      </c>
      <c r="G51" s="1">
        <v>5</v>
      </c>
      <c r="H51" s="12" t="s">
        <v>40</v>
      </c>
      <c r="I51" s="12" t="s">
        <v>35</v>
      </c>
      <c r="J51" s="12" t="s">
        <v>77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12" t="s">
        <v>61</v>
      </c>
      <c r="Q51" s="12" t="s">
        <v>75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96</v>
      </c>
      <c r="G52" s="1">
        <v>7</v>
      </c>
      <c r="H52" s="12" t="s">
        <v>42</v>
      </c>
      <c r="I52" s="12" t="s">
        <v>58</v>
      </c>
      <c r="J52" s="12" t="s">
        <v>74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12" t="s">
        <v>59</v>
      </c>
      <c r="Q52" s="12" t="s">
        <v>75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97</v>
      </c>
      <c r="G53" s="1">
        <v>9</v>
      </c>
      <c r="H53" s="1">
        <v>9</v>
      </c>
      <c r="I53" s="12" t="s">
        <v>29</v>
      </c>
      <c r="J53" s="12" t="s">
        <v>74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12" t="s">
        <v>64</v>
      </c>
      <c r="Q53" s="12" t="s">
        <v>78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98</v>
      </c>
      <c r="G54" s="1">
        <v>10</v>
      </c>
      <c r="H54" s="1">
        <v>10</v>
      </c>
      <c r="I54" s="12" t="s">
        <v>58</v>
      </c>
      <c r="J54" s="12" t="s">
        <v>74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12" t="s">
        <v>59</v>
      </c>
      <c r="Q54" s="12" t="s">
        <v>75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99</v>
      </c>
      <c r="G56" s="1">
        <v>1</v>
      </c>
      <c r="H56" s="1">
        <v>1</v>
      </c>
      <c r="I56" s="12" t="s">
        <v>24</v>
      </c>
      <c r="J56" s="12" t="s">
        <v>100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12" t="s">
        <v>26</v>
      </c>
      <c r="Q56" s="12" t="s">
        <v>101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102</v>
      </c>
      <c r="G57" s="1">
        <v>2</v>
      </c>
      <c r="H57" s="1">
        <v>2</v>
      </c>
      <c r="I57" s="12" t="s">
        <v>29</v>
      </c>
      <c r="J57" s="12" t="s">
        <v>100</v>
      </c>
      <c r="K57" s="1">
        <v>900</v>
      </c>
      <c r="L57" s="1">
        <v>1</v>
      </c>
      <c r="M57" s="1">
        <v>0</v>
      </c>
      <c r="N57" s="1">
        <v>7</v>
      </c>
      <c r="O57" s="1">
        <v>5</v>
      </c>
      <c r="P57" s="12" t="s">
        <v>30</v>
      </c>
      <c r="Q57" s="12" t="s">
        <v>101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103</v>
      </c>
      <c r="G58" s="1">
        <v>3</v>
      </c>
      <c r="H58" s="1">
        <v>3</v>
      </c>
      <c r="I58" s="12" t="s">
        <v>24</v>
      </c>
      <c r="J58" s="12" t="s">
        <v>104</v>
      </c>
      <c r="K58" s="1">
        <v>300</v>
      </c>
      <c r="L58" s="1">
        <v>1</v>
      </c>
      <c r="M58" s="1">
        <v>0</v>
      </c>
      <c r="N58" s="1">
        <v>7</v>
      </c>
      <c r="O58" s="1">
        <v>5</v>
      </c>
      <c r="P58" s="12" t="s">
        <v>26</v>
      </c>
      <c r="Q58" s="12" t="s">
        <v>105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106</v>
      </c>
      <c r="G59" s="1">
        <v>4</v>
      </c>
      <c r="H59" s="1">
        <v>4</v>
      </c>
      <c r="I59" s="12" t="s">
        <v>35</v>
      </c>
      <c r="J59" s="12" t="s">
        <v>107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12" t="s">
        <v>37</v>
      </c>
      <c r="Q59" s="12" t="s">
        <v>108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109</v>
      </c>
      <c r="G60" s="1">
        <v>5</v>
      </c>
      <c r="H60" s="12" t="s">
        <v>40</v>
      </c>
      <c r="I60" s="12" t="s">
        <v>35</v>
      </c>
      <c r="J60" s="12" t="s">
        <v>107</v>
      </c>
      <c r="K60" s="1">
        <v>300</v>
      </c>
      <c r="L60" s="1">
        <v>1</v>
      </c>
      <c r="M60" s="1">
        <v>0</v>
      </c>
      <c r="N60" s="1">
        <v>7</v>
      </c>
      <c r="O60" s="1">
        <v>5</v>
      </c>
      <c r="P60" s="12" t="s">
        <v>30</v>
      </c>
      <c r="Q60" s="12" t="s">
        <v>105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110</v>
      </c>
      <c r="G61" s="1">
        <v>7</v>
      </c>
      <c r="H61" s="12" t="s">
        <v>42</v>
      </c>
      <c r="I61" s="12" t="s">
        <v>24</v>
      </c>
      <c r="J61" s="12" t="s">
        <v>104</v>
      </c>
      <c r="K61" s="1">
        <v>300</v>
      </c>
      <c r="L61" s="1">
        <v>1</v>
      </c>
      <c r="M61" s="1">
        <v>0</v>
      </c>
      <c r="N61" s="1">
        <v>7</v>
      </c>
      <c r="O61" s="1">
        <v>5</v>
      </c>
      <c r="P61" s="12" t="s">
        <v>26</v>
      </c>
      <c r="Q61" s="12" t="s">
        <v>105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111</v>
      </c>
      <c r="G62" s="1">
        <v>9</v>
      </c>
      <c r="H62" s="1">
        <v>9</v>
      </c>
      <c r="I62" s="12" t="s">
        <v>29</v>
      </c>
      <c r="J62" s="12" t="s">
        <v>104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12" t="s">
        <v>37</v>
      </c>
      <c r="Q62" s="12" t="s">
        <v>108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112</v>
      </c>
      <c r="G63" s="1">
        <v>10</v>
      </c>
      <c r="H63" s="1">
        <v>10</v>
      </c>
      <c r="I63" s="12" t="s">
        <v>24</v>
      </c>
      <c r="J63" s="12" t="s">
        <v>104</v>
      </c>
      <c r="K63" s="1">
        <v>300</v>
      </c>
      <c r="L63" s="1">
        <v>1</v>
      </c>
      <c r="M63" s="1">
        <v>0</v>
      </c>
      <c r="N63" s="1">
        <v>7</v>
      </c>
      <c r="O63" s="1">
        <v>5</v>
      </c>
      <c r="P63" s="12" t="s">
        <v>26</v>
      </c>
      <c r="Q63" s="12" t="s">
        <v>105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113</v>
      </c>
      <c r="G64" s="1">
        <v>1</v>
      </c>
      <c r="H64" s="1">
        <v>1</v>
      </c>
      <c r="I64" s="12" t="s">
        <v>46</v>
      </c>
      <c r="J64" s="12" t="s">
        <v>107</v>
      </c>
      <c r="K64" s="1">
        <v>900</v>
      </c>
      <c r="L64" s="1">
        <v>2</v>
      </c>
      <c r="M64" s="1">
        <v>0</v>
      </c>
      <c r="N64" s="1">
        <v>8</v>
      </c>
      <c r="O64" s="1">
        <v>5</v>
      </c>
      <c r="P64" s="12" t="s">
        <v>47</v>
      </c>
      <c r="Q64" s="12" t="s">
        <v>101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114</v>
      </c>
      <c r="G65" s="1">
        <v>2</v>
      </c>
      <c r="H65" s="1">
        <v>2</v>
      </c>
      <c r="I65" s="12" t="s">
        <v>29</v>
      </c>
      <c r="J65" s="12" t="s">
        <v>107</v>
      </c>
      <c r="K65" s="1">
        <v>900</v>
      </c>
      <c r="L65" s="1">
        <v>2</v>
      </c>
      <c r="M65" s="1">
        <v>0</v>
      </c>
      <c r="N65" s="1">
        <v>8</v>
      </c>
      <c r="O65" s="1">
        <v>5</v>
      </c>
      <c r="P65" s="12" t="s">
        <v>49</v>
      </c>
      <c r="Q65" s="12" t="s">
        <v>101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115</v>
      </c>
      <c r="G66" s="1">
        <v>3</v>
      </c>
      <c r="H66" s="1">
        <v>3</v>
      </c>
      <c r="I66" s="12" t="s">
        <v>46</v>
      </c>
      <c r="J66" s="12" t="s">
        <v>104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12" t="s">
        <v>47</v>
      </c>
      <c r="Q66" s="12" t="s">
        <v>105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116</v>
      </c>
      <c r="G67" s="1">
        <v>4</v>
      </c>
      <c r="H67" s="1">
        <v>4</v>
      </c>
      <c r="I67" s="12" t="s">
        <v>35</v>
      </c>
      <c r="J67" s="12" t="s">
        <v>107</v>
      </c>
      <c r="K67" s="1">
        <v>300</v>
      </c>
      <c r="L67" s="1">
        <v>2</v>
      </c>
      <c r="M67" s="1">
        <v>0</v>
      </c>
      <c r="N67" s="1">
        <v>8</v>
      </c>
      <c r="O67" s="1">
        <v>5</v>
      </c>
      <c r="P67" s="12" t="s">
        <v>52</v>
      </c>
      <c r="Q67" s="12" t="s">
        <v>108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117</v>
      </c>
      <c r="G68" s="1">
        <v>5</v>
      </c>
      <c r="H68" s="12" t="s">
        <v>40</v>
      </c>
      <c r="I68" s="12" t="s">
        <v>35</v>
      </c>
      <c r="J68" s="12" t="s">
        <v>107</v>
      </c>
      <c r="K68" s="1">
        <v>300</v>
      </c>
      <c r="L68" s="1">
        <v>2</v>
      </c>
      <c r="M68" s="1">
        <v>0</v>
      </c>
      <c r="N68" s="1">
        <v>8</v>
      </c>
      <c r="O68" s="1">
        <v>5</v>
      </c>
      <c r="P68" s="12" t="s">
        <v>49</v>
      </c>
      <c r="Q68" s="12" t="s">
        <v>105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118</v>
      </c>
      <c r="G69" s="1">
        <v>7</v>
      </c>
      <c r="H69" s="12" t="s">
        <v>42</v>
      </c>
      <c r="I69" s="12" t="s">
        <v>46</v>
      </c>
      <c r="J69" s="12" t="s">
        <v>104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12" t="s">
        <v>47</v>
      </c>
      <c r="Q69" s="12" t="s">
        <v>105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119</v>
      </c>
      <c r="G70" s="1">
        <v>9</v>
      </c>
      <c r="H70" s="1">
        <v>9</v>
      </c>
      <c r="I70" s="12" t="s">
        <v>29</v>
      </c>
      <c r="J70" s="12" t="s">
        <v>104</v>
      </c>
      <c r="K70" s="1">
        <v>300</v>
      </c>
      <c r="L70" s="1">
        <v>2</v>
      </c>
      <c r="M70" s="1">
        <v>0</v>
      </c>
      <c r="N70" s="1">
        <v>8</v>
      </c>
      <c r="O70" s="1">
        <v>5</v>
      </c>
      <c r="P70" s="12" t="s">
        <v>52</v>
      </c>
      <c r="Q70" s="12" t="s">
        <v>108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120</v>
      </c>
      <c r="G71" s="1">
        <v>10</v>
      </c>
      <c r="H71" s="1">
        <v>10</v>
      </c>
      <c r="I71" s="12" t="s">
        <v>46</v>
      </c>
      <c r="J71" s="12" t="s">
        <v>104</v>
      </c>
      <c r="K71" s="1">
        <v>300</v>
      </c>
      <c r="L71" s="1">
        <v>2</v>
      </c>
      <c r="M71" s="1">
        <v>0</v>
      </c>
      <c r="N71" s="1">
        <v>8</v>
      </c>
      <c r="O71" s="1">
        <v>5</v>
      </c>
      <c r="P71" s="12" t="s">
        <v>47</v>
      </c>
      <c r="Q71" s="12" t="s">
        <v>105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121</v>
      </c>
      <c r="G72" s="1">
        <v>1</v>
      </c>
      <c r="H72" s="1">
        <v>1</v>
      </c>
      <c r="I72" s="12" t="s">
        <v>58</v>
      </c>
      <c r="J72" s="12" t="s">
        <v>100</v>
      </c>
      <c r="K72" s="1">
        <v>900</v>
      </c>
      <c r="L72" s="1">
        <v>3</v>
      </c>
      <c r="M72" s="1">
        <v>0</v>
      </c>
      <c r="N72" s="1">
        <v>9</v>
      </c>
      <c r="O72" s="1">
        <v>5</v>
      </c>
      <c r="P72" s="12" t="s">
        <v>59</v>
      </c>
      <c r="Q72" s="12" t="s">
        <v>101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122</v>
      </c>
      <c r="G73" s="1">
        <v>2</v>
      </c>
      <c r="H73" s="1">
        <v>2</v>
      </c>
      <c r="I73" s="12" t="s">
        <v>29</v>
      </c>
      <c r="J73" s="12" t="s">
        <v>100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12" t="s">
        <v>61</v>
      </c>
      <c r="Q73" s="12" t="s">
        <v>101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123</v>
      </c>
      <c r="G74" s="1">
        <v>3</v>
      </c>
      <c r="H74" s="1">
        <v>3</v>
      </c>
      <c r="I74" s="12" t="s">
        <v>58</v>
      </c>
      <c r="J74" s="12" t="s">
        <v>104</v>
      </c>
      <c r="K74" s="1">
        <v>300</v>
      </c>
      <c r="L74" s="1">
        <v>3</v>
      </c>
      <c r="M74" s="1">
        <v>0</v>
      </c>
      <c r="N74" s="1">
        <v>9</v>
      </c>
      <c r="O74" s="1">
        <v>5</v>
      </c>
      <c r="P74" s="12" t="s">
        <v>59</v>
      </c>
      <c r="Q74" s="12" t="s">
        <v>105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124</v>
      </c>
      <c r="G75" s="1">
        <v>4</v>
      </c>
      <c r="H75" s="1">
        <v>4</v>
      </c>
      <c r="I75" s="12" t="s">
        <v>35</v>
      </c>
      <c r="J75" s="12" t="s">
        <v>107</v>
      </c>
      <c r="K75" s="1">
        <v>300</v>
      </c>
      <c r="L75" s="1">
        <v>3</v>
      </c>
      <c r="M75" s="1">
        <v>0</v>
      </c>
      <c r="N75" s="1">
        <v>9</v>
      </c>
      <c r="O75" s="1">
        <v>5</v>
      </c>
      <c r="P75" s="12" t="s">
        <v>64</v>
      </c>
      <c r="Q75" s="12" t="s">
        <v>108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125</v>
      </c>
      <c r="G76" s="1">
        <v>5</v>
      </c>
      <c r="H76" s="12" t="s">
        <v>40</v>
      </c>
      <c r="I76" s="12" t="s">
        <v>35</v>
      </c>
      <c r="J76" s="12" t="s">
        <v>107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12" t="s">
        <v>61</v>
      </c>
      <c r="Q76" s="12" t="s">
        <v>105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126</v>
      </c>
      <c r="G77" s="1">
        <v>7</v>
      </c>
      <c r="H77" s="12" t="s">
        <v>42</v>
      </c>
      <c r="I77" s="12" t="s">
        <v>58</v>
      </c>
      <c r="J77" s="12" t="s">
        <v>104</v>
      </c>
      <c r="K77" s="1">
        <v>300</v>
      </c>
      <c r="L77" s="1">
        <v>3</v>
      </c>
      <c r="M77" s="1">
        <v>0</v>
      </c>
      <c r="N77" s="1">
        <v>9</v>
      </c>
      <c r="O77" s="1">
        <v>5</v>
      </c>
      <c r="P77" s="12" t="s">
        <v>59</v>
      </c>
      <c r="Q77" s="12" t="s">
        <v>105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127</v>
      </c>
      <c r="G78" s="1">
        <v>9</v>
      </c>
      <c r="H78" s="1">
        <v>9</v>
      </c>
      <c r="I78" s="12" t="s">
        <v>29</v>
      </c>
      <c r="J78" s="12" t="s">
        <v>104</v>
      </c>
      <c r="K78" s="1">
        <v>300</v>
      </c>
      <c r="L78" s="1">
        <v>3</v>
      </c>
      <c r="M78" s="1">
        <v>0</v>
      </c>
      <c r="N78" s="1">
        <v>9</v>
      </c>
      <c r="O78" s="1">
        <v>5</v>
      </c>
      <c r="P78" s="12" t="s">
        <v>64</v>
      </c>
      <c r="Q78" s="12" t="s">
        <v>108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128</v>
      </c>
      <c r="G79" s="1">
        <v>10</v>
      </c>
      <c r="H79" s="1">
        <v>10</v>
      </c>
      <c r="I79" s="12" t="s">
        <v>58</v>
      </c>
      <c r="J79" s="12" t="s">
        <v>104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12" t="s">
        <v>59</v>
      </c>
      <c r="Q79" s="12" t="s">
        <v>105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129</v>
      </c>
      <c r="G81" s="1">
        <v>1</v>
      </c>
      <c r="H81" s="1">
        <v>1</v>
      </c>
      <c r="I81" s="12" t="s">
        <v>24</v>
      </c>
      <c r="J81" s="12" t="s">
        <v>130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12" t="s">
        <v>26</v>
      </c>
      <c r="Q81" s="12" t="s">
        <v>131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132</v>
      </c>
      <c r="G82" s="1">
        <v>2</v>
      </c>
      <c r="H82" s="1">
        <v>2</v>
      </c>
      <c r="I82" s="12" t="s">
        <v>29</v>
      </c>
      <c r="J82" s="12" t="s">
        <v>130</v>
      </c>
      <c r="K82" s="1">
        <v>100</v>
      </c>
      <c r="L82" s="1">
        <v>1</v>
      </c>
      <c r="M82" s="1">
        <v>0</v>
      </c>
      <c r="N82" s="1">
        <v>10</v>
      </c>
      <c r="O82" s="1">
        <v>5</v>
      </c>
      <c r="P82" s="12" t="s">
        <v>30</v>
      </c>
      <c r="Q82" s="12" t="s">
        <v>131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133</v>
      </c>
      <c r="G83" s="1">
        <v>3</v>
      </c>
      <c r="H83" s="1">
        <v>3</v>
      </c>
      <c r="I83" s="12" t="s">
        <v>24</v>
      </c>
      <c r="J83" s="12" t="s">
        <v>134</v>
      </c>
      <c r="K83" s="1">
        <v>100</v>
      </c>
      <c r="L83" s="1">
        <v>1</v>
      </c>
      <c r="M83" s="1">
        <v>0</v>
      </c>
      <c r="N83" s="1">
        <v>10</v>
      </c>
      <c r="O83" s="1">
        <v>5</v>
      </c>
      <c r="P83" s="12" t="s">
        <v>26</v>
      </c>
      <c r="Q83" s="12" t="s">
        <v>135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136</v>
      </c>
      <c r="G84" s="1">
        <v>4</v>
      </c>
      <c r="H84" s="1">
        <v>4</v>
      </c>
      <c r="I84" s="12" t="s">
        <v>35</v>
      </c>
      <c r="J84" s="12" t="s">
        <v>137</v>
      </c>
      <c r="K84" s="1">
        <v>100</v>
      </c>
      <c r="L84" s="1">
        <v>1</v>
      </c>
      <c r="M84" s="1">
        <v>0</v>
      </c>
      <c r="N84" s="1">
        <v>10</v>
      </c>
      <c r="O84" s="1">
        <v>5</v>
      </c>
      <c r="P84" s="12" t="s">
        <v>37</v>
      </c>
      <c r="Q84" s="12" t="s">
        <v>138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139</v>
      </c>
      <c r="G85" s="1">
        <v>5</v>
      </c>
      <c r="H85" s="12" t="s">
        <v>40</v>
      </c>
      <c r="I85" s="12" t="s">
        <v>35</v>
      </c>
      <c r="J85" s="12" t="s">
        <v>137</v>
      </c>
      <c r="K85" s="1">
        <v>100</v>
      </c>
      <c r="L85" s="1">
        <v>1</v>
      </c>
      <c r="M85" s="1">
        <v>0</v>
      </c>
      <c r="N85" s="1">
        <v>10</v>
      </c>
      <c r="O85" s="1">
        <v>5</v>
      </c>
      <c r="P85" s="12" t="s">
        <v>30</v>
      </c>
      <c r="Q85" s="12" t="s">
        <v>135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140</v>
      </c>
      <c r="G86" s="1">
        <v>7</v>
      </c>
      <c r="H86" s="12" t="s">
        <v>42</v>
      </c>
      <c r="I86" s="12" t="s">
        <v>24</v>
      </c>
      <c r="J86" s="12" t="s">
        <v>134</v>
      </c>
      <c r="K86" s="1">
        <v>100</v>
      </c>
      <c r="L86" s="1">
        <v>1</v>
      </c>
      <c r="M86" s="1">
        <v>0</v>
      </c>
      <c r="N86" s="1">
        <v>10</v>
      </c>
      <c r="O86" s="1">
        <v>5</v>
      </c>
      <c r="P86" s="12" t="s">
        <v>26</v>
      </c>
      <c r="Q86" s="12" t="s">
        <v>135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141</v>
      </c>
      <c r="G87" s="1">
        <v>9</v>
      </c>
      <c r="H87" s="1">
        <v>9</v>
      </c>
      <c r="I87" s="12" t="s">
        <v>29</v>
      </c>
      <c r="J87" s="12" t="s">
        <v>134</v>
      </c>
      <c r="K87" s="1">
        <v>100</v>
      </c>
      <c r="L87" s="1">
        <v>1</v>
      </c>
      <c r="M87" s="1">
        <v>0</v>
      </c>
      <c r="N87" s="1">
        <v>10</v>
      </c>
      <c r="O87" s="1">
        <v>5</v>
      </c>
      <c r="P87" s="12" t="s">
        <v>37</v>
      </c>
      <c r="Q87" s="12" t="s">
        <v>138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142</v>
      </c>
      <c r="G88" s="1">
        <v>10</v>
      </c>
      <c r="H88" s="1">
        <v>10</v>
      </c>
      <c r="I88" s="12" t="s">
        <v>24</v>
      </c>
      <c r="J88" s="12" t="s">
        <v>134</v>
      </c>
      <c r="K88" s="1">
        <v>100</v>
      </c>
      <c r="L88" s="1">
        <v>1</v>
      </c>
      <c r="M88" s="1">
        <v>0</v>
      </c>
      <c r="N88" s="1">
        <v>10</v>
      </c>
      <c r="O88" s="1">
        <v>5</v>
      </c>
      <c r="P88" s="12" t="s">
        <v>26</v>
      </c>
      <c r="Q88" s="12" t="s">
        <v>135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143</v>
      </c>
      <c r="G89" s="1">
        <v>1</v>
      </c>
      <c r="H89" s="1">
        <v>1</v>
      </c>
      <c r="I89" s="12" t="s">
        <v>46</v>
      </c>
      <c r="J89" s="12" t="s">
        <v>130</v>
      </c>
      <c r="K89" s="1">
        <v>100</v>
      </c>
      <c r="L89" s="1">
        <v>2</v>
      </c>
      <c r="M89" s="1">
        <v>0</v>
      </c>
      <c r="N89" s="1">
        <v>11</v>
      </c>
      <c r="O89" s="1">
        <v>5</v>
      </c>
      <c r="P89" s="12" t="s">
        <v>47</v>
      </c>
      <c r="Q89" s="12" t="s">
        <v>131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144</v>
      </c>
      <c r="G90" s="1">
        <v>2</v>
      </c>
      <c r="H90" s="1">
        <v>2</v>
      </c>
      <c r="I90" s="12" t="s">
        <v>29</v>
      </c>
      <c r="J90" s="12" t="s">
        <v>130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12" t="s">
        <v>49</v>
      </c>
      <c r="Q90" s="12" t="s">
        <v>131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145</v>
      </c>
      <c r="G91" s="1">
        <v>3</v>
      </c>
      <c r="H91" s="1">
        <v>3</v>
      </c>
      <c r="I91" s="12" t="s">
        <v>46</v>
      </c>
      <c r="J91" s="12" t="s">
        <v>134</v>
      </c>
      <c r="K91" s="1">
        <v>100</v>
      </c>
      <c r="L91" s="1">
        <v>2</v>
      </c>
      <c r="M91" s="1">
        <v>0</v>
      </c>
      <c r="N91" s="1">
        <v>11</v>
      </c>
      <c r="O91" s="1">
        <v>5</v>
      </c>
      <c r="P91" s="12" t="s">
        <v>47</v>
      </c>
      <c r="Q91" s="12" t="s">
        <v>135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146</v>
      </c>
      <c r="G92" s="1">
        <v>4</v>
      </c>
      <c r="H92" s="1">
        <v>4</v>
      </c>
      <c r="I92" s="12" t="s">
        <v>35</v>
      </c>
      <c r="J92" s="12" t="s">
        <v>137</v>
      </c>
      <c r="K92" s="1">
        <v>100</v>
      </c>
      <c r="L92" s="1">
        <v>2</v>
      </c>
      <c r="M92" s="1">
        <v>0</v>
      </c>
      <c r="N92" s="1">
        <v>11</v>
      </c>
      <c r="O92" s="1">
        <v>5</v>
      </c>
      <c r="P92" s="12" t="s">
        <v>52</v>
      </c>
      <c r="Q92" s="12" t="s">
        <v>138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147</v>
      </c>
      <c r="G93" s="1">
        <v>5</v>
      </c>
      <c r="H93" s="12" t="s">
        <v>40</v>
      </c>
      <c r="I93" s="12" t="s">
        <v>35</v>
      </c>
      <c r="J93" s="12" t="s">
        <v>137</v>
      </c>
      <c r="K93" s="1">
        <v>100</v>
      </c>
      <c r="L93" s="1">
        <v>2</v>
      </c>
      <c r="M93" s="1">
        <v>0</v>
      </c>
      <c r="N93" s="1">
        <v>11</v>
      </c>
      <c r="O93" s="1">
        <v>5</v>
      </c>
      <c r="P93" s="12" t="s">
        <v>49</v>
      </c>
      <c r="Q93" s="12" t="s">
        <v>135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148</v>
      </c>
      <c r="G94" s="1">
        <v>7</v>
      </c>
      <c r="H94" s="12" t="s">
        <v>42</v>
      </c>
      <c r="I94" s="12" t="s">
        <v>46</v>
      </c>
      <c r="J94" s="12" t="s">
        <v>134</v>
      </c>
      <c r="K94" s="1">
        <v>100</v>
      </c>
      <c r="L94" s="1">
        <v>2</v>
      </c>
      <c r="M94" s="1">
        <v>0</v>
      </c>
      <c r="N94" s="1">
        <v>11</v>
      </c>
      <c r="O94" s="1">
        <v>5</v>
      </c>
      <c r="P94" s="12" t="s">
        <v>47</v>
      </c>
      <c r="Q94" s="12" t="s">
        <v>135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149</v>
      </c>
      <c r="G95" s="1">
        <v>9</v>
      </c>
      <c r="H95" s="1">
        <v>9</v>
      </c>
      <c r="I95" s="12" t="s">
        <v>29</v>
      </c>
      <c r="J95" s="12" t="s">
        <v>134</v>
      </c>
      <c r="K95" s="1">
        <v>100</v>
      </c>
      <c r="L95" s="1">
        <v>2</v>
      </c>
      <c r="M95" s="1">
        <v>0</v>
      </c>
      <c r="N95" s="1">
        <v>11</v>
      </c>
      <c r="O95" s="1">
        <v>5</v>
      </c>
      <c r="P95" s="12" t="s">
        <v>52</v>
      </c>
      <c r="Q95" s="12" t="s">
        <v>138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150</v>
      </c>
      <c r="G96" s="1">
        <v>10</v>
      </c>
      <c r="H96" s="1">
        <v>10</v>
      </c>
      <c r="I96" s="12" t="s">
        <v>46</v>
      </c>
      <c r="J96" s="12" t="s">
        <v>134</v>
      </c>
      <c r="K96" s="1">
        <v>100</v>
      </c>
      <c r="L96" s="1">
        <v>2</v>
      </c>
      <c r="M96" s="1">
        <v>0</v>
      </c>
      <c r="N96" s="1">
        <v>11</v>
      </c>
      <c r="O96" s="1">
        <v>5</v>
      </c>
      <c r="P96" s="12" t="s">
        <v>47</v>
      </c>
      <c r="Q96" s="12" t="s">
        <v>135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151</v>
      </c>
      <c r="G97" s="1">
        <v>1</v>
      </c>
      <c r="H97" s="1">
        <v>1</v>
      </c>
      <c r="I97" s="12" t="s">
        <v>58</v>
      </c>
      <c r="J97" s="12" t="s">
        <v>130</v>
      </c>
      <c r="K97" s="1">
        <v>100</v>
      </c>
      <c r="L97" s="1">
        <v>3</v>
      </c>
      <c r="M97" s="1">
        <v>0</v>
      </c>
      <c r="N97" s="1">
        <v>12</v>
      </c>
      <c r="O97" s="1">
        <v>5</v>
      </c>
      <c r="P97" s="12" t="s">
        <v>59</v>
      </c>
      <c r="Q97" s="12" t="s">
        <v>131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152</v>
      </c>
      <c r="G98" s="1">
        <v>2</v>
      </c>
      <c r="H98" s="1">
        <v>2</v>
      </c>
      <c r="I98" s="12" t="s">
        <v>29</v>
      </c>
      <c r="J98" s="12" t="s">
        <v>130</v>
      </c>
      <c r="K98" s="1">
        <v>100</v>
      </c>
      <c r="L98" s="1">
        <v>3</v>
      </c>
      <c r="M98" s="1">
        <v>0</v>
      </c>
      <c r="N98" s="1">
        <v>12</v>
      </c>
      <c r="O98" s="1">
        <v>5</v>
      </c>
      <c r="P98" s="12" t="s">
        <v>61</v>
      </c>
      <c r="Q98" s="12" t="s">
        <v>131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153</v>
      </c>
      <c r="G99" s="1">
        <v>3</v>
      </c>
      <c r="H99" s="1">
        <v>3</v>
      </c>
      <c r="I99" s="12" t="s">
        <v>58</v>
      </c>
      <c r="J99" s="12" t="s">
        <v>134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12" t="s">
        <v>59</v>
      </c>
      <c r="Q99" s="12" t="s">
        <v>135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154</v>
      </c>
      <c r="G100" s="1">
        <v>4</v>
      </c>
      <c r="H100" s="1">
        <v>4</v>
      </c>
      <c r="I100" s="12" t="s">
        <v>35</v>
      </c>
      <c r="J100" s="12" t="s">
        <v>137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12" t="s">
        <v>64</v>
      </c>
      <c r="Q100" s="12" t="s">
        <v>138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155</v>
      </c>
      <c r="G101" s="1">
        <v>5</v>
      </c>
      <c r="H101" s="12" t="s">
        <v>40</v>
      </c>
      <c r="I101" s="12" t="s">
        <v>35</v>
      </c>
      <c r="J101" s="12" t="s">
        <v>137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12" t="s">
        <v>61</v>
      </c>
      <c r="Q101" s="12" t="s">
        <v>135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156</v>
      </c>
      <c r="G102" s="1">
        <v>7</v>
      </c>
      <c r="H102" s="12" t="s">
        <v>42</v>
      </c>
      <c r="I102" s="12" t="s">
        <v>58</v>
      </c>
      <c r="J102" s="12" t="s">
        <v>134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12" t="s">
        <v>59</v>
      </c>
      <c r="Q102" s="12" t="s">
        <v>135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157</v>
      </c>
      <c r="G103" s="1">
        <v>9</v>
      </c>
      <c r="H103" s="1">
        <v>9</v>
      </c>
      <c r="I103" s="12" t="s">
        <v>29</v>
      </c>
      <c r="J103" s="12" t="s">
        <v>134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12" t="s">
        <v>64</v>
      </c>
      <c r="Q103" s="12" t="s">
        <v>138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158</v>
      </c>
      <c r="G104" s="1">
        <v>10</v>
      </c>
      <c r="H104" s="1">
        <v>10</v>
      </c>
      <c r="I104" s="12" t="s">
        <v>58</v>
      </c>
      <c r="J104" s="12" t="s">
        <v>134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12" t="s">
        <v>59</v>
      </c>
      <c r="Q104" s="12" t="s">
        <v>135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C17" sqref="C17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8"/>
      <c r="C3" s="9" t="s">
        <v>0</v>
      </c>
      <c r="D3" s="9" t="s">
        <v>1</v>
      </c>
      <c r="E3" s="9" t="s">
        <v>2</v>
      </c>
      <c r="F3" s="9" t="s">
        <v>3</v>
      </c>
      <c r="G3" s="9" t="s">
        <v>4</v>
      </c>
      <c r="H3" s="9" t="s">
        <v>5</v>
      </c>
      <c r="I3" s="10" t="s">
        <v>6</v>
      </c>
      <c r="J3" s="11" t="s">
        <v>7</v>
      </c>
      <c r="K3" s="9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</row>
    <row r="4" s="1" customFormat="1" customHeight="1" spans="1:17">
      <c r="A4" s="8"/>
      <c r="C4" s="9" t="s">
        <v>15</v>
      </c>
      <c r="D4" s="9" t="s">
        <v>1</v>
      </c>
      <c r="E4" s="9" t="s">
        <v>2</v>
      </c>
      <c r="F4" s="9" t="s">
        <v>3</v>
      </c>
      <c r="G4" s="9" t="s">
        <v>4</v>
      </c>
      <c r="H4" s="9" t="s">
        <v>5</v>
      </c>
      <c r="I4" s="10" t="s">
        <v>16</v>
      </c>
      <c r="J4" s="11" t="s">
        <v>17</v>
      </c>
      <c r="K4" s="9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</row>
    <row r="5" s="1" customFormat="1" customHeight="1" spans="1:17">
      <c r="A5" s="8"/>
      <c r="C5" s="9" t="s">
        <v>18</v>
      </c>
      <c r="D5" s="9" t="s">
        <v>18</v>
      </c>
      <c r="E5" s="9" t="s">
        <v>18</v>
      </c>
      <c r="F5" s="9" t="s">
        <v>19</v>
      </c>
      <c r="G5" s="9" t="s">
        <v>18</v>
      </c>
      <c r="H5" s="9" t="s">
        <v>20</v>
      </c>
      <c r="I5" s="10" t="s">
        <v>20</v>
      </c>
      <c r="J5" s="11" t="s">
        <v>21</v>
      </c>
      <c r="K5" s="9" t="s">
        <v>22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20</v>
      </c>
      <c r="Q5" s="9" t="s">
        <v>20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159</v>
      </c>
      <c r="G6" s="1">
        <v>1</v>
      </c>
      <c r="H6" s="1">
        <v>1</v>
      </c>
      <c r="I6" s="12" t="s">
        <v>24</v>
      </c>
      <c r="J6" s="12" t="s">
        <v>160</v>
      </c>
      <c r="K6" s="1">
        <v>100</v>
      </c>
      <c r="L6" s="1">
        <v>1</v>
      </c>
      <c r="M6" s="1">
        <v>0</v>
      </c>
      <c r="N6" s="1">
        <f t="shared" ref="N6:N13" si="0">E6/10*3+1</f>
        <v>13</v>
      </c>
      <c r="O6" s="1">
        <v>5</v>
      </c>
      <c r="P6" s="12" t="s">
        <v>26</v>
      </c>
      <c r="Q6" s="12" t="s">
        <v>27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161</v>
      </c>
      <c r="G7" s="1">
        <v>2</v>
      </c>
      <c r="H7" s="1">
        <v>2</v>
      </c>
      <c r="I7" s="12" t="s">
        <v>29</v>
      </c>
      <c r="J7" s="12" t="s">
        <v>162</v>
      </c>
      <c r="K7" s="1">
        <v>100</v>
      </c>
      <c r="L7" s="1">
        <v>1</v>
      </c>
      <c r="M7" s="1">
        <v>0</v>
      </c>
      <c r="N7" s="1">
        <f t="shared" si="0"/>
        <v>13</v>
      </c>
      <c r="O7" s="1">
        <v>5</v>
      </c>
      <c r="P7" s="12" t="s">
        <v>30</v>
      </c>
      <c r="Q7" s="12" t="s">
        <v>160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163</v>
      </c>
      <c r="G8" s="1">
        <v>3</v>
      </c>
      <c r="H8" s="1">
        <v>3</v>
      </c>
      <c r="I8" s="12" t="s">
        <v>24</v>
      </c>
      <c r="J8" s="12" t="s">
        <v>162</v>
      </c>
      <c r="K8" s="1">
        <v>100</v>
      </c>
      <c r="L8" s="1">
        <v>1</v>
      </c>
      <c r="M8" s="1">
        <v>0</v>
      </c>
      <c r="N8" s="1">
        <f t="shared" si="0"/>
        <v>13</v>
      </c>
      <c r="O8" s="1">
        <v>5</v>
      </c>
      <c r="P8" s="12" t="s">
        <v>26</v>
      </c>
      <c r="Q8" s="12" t="s">
        <v>33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164</v>
      </c>
      <c r="G9" s="1">
        <v>4</v>
      </c>
      <c r="H9" s="1">
        <v>4</v>
      </c>
      <c r="I9" s="12" t="s">
        <v>35</v>
      </c>
      <c r="J9" s="12" t="s">
        <v>165</v>
      </c>
      <c r="K9" s="1">
        <v>100</v>
      </c>
      <c r="L9" s="1">
        <v>1</v>
      </c>
      <c r="M9" s="1">
        <v>0</v>
      </c>
      <c r="N9" s="1">
        <f t="shared" si="0"/>
        <v>13</v>
      </c>
      <c r="O9" s="1">
        <v>5</v>
      </c>
      <c r="P9" s="12" t="s">
        <v>37</v>
      </c>
      <c r="Q9" s="12" t="s">
        <v>166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167</v>
      </c>
      <c r="G10" s="1">
        <v>5</v>
      </c>
      <c r="H10" s="12" t="s">
        <v>40</v>
      </c>
      <c r="I10" s="12" t="s">
        <v>35</v>
      </c>
      <c r="J10" s="12" t="s">
        <v>165</v>
      </c>
      <c r="K10" s="1">
        <v>100</v>
      </c>
      <c r="L10" s="1">
        <v>1</v>
      </c>
      <c r="M10" s="1">
        <v>0</v>
      </c>
      <c r="N10" s="1">
        <f t="shared" si="0"/>
        <v>13</v>
      </c>
      <c r="O10" s="1">
        <v>5</v>
      </c>
      <c r="P10" s="12" t="s">
        <v>30</v>
      </c>
      <c r="Q10" s="12" t="s">
        <v>168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169</v>
      </c>
      <c r="G11" s="1">
        <v>7</v>
      </c>
      <c r="H11" s="12" t="s">
        <v>42</v>
      </c>
      <c r="I11" s="12" t="s">
        <v>24</v>
      </c>
      <c r="J11" s="12" t="s">
        <v>162</v>
      </c>
      <c r="K11" s="1">
        <v>100</v>
      </c>
      <c r="L11" s="1">
        <v>1</v>
      </c>
      <c r="M11" s="1">
        <v>0</v>
      </c>
      <c r="N11" s="1">
        <f t="shared" si="0"/>
        <v>13</v>
      </c>
      <c r="O11" s="1">
        <v>5</v>
      </c>
      <c r="P11" s="12" t="s">
        <v>26</v>
      </c>
      <c r="Q11" s="12" t="s">
        <v>33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170</v>
      </c>
      <c r="G12" s="1">
        <v>9</v>
      </c>
      <c r="H12" s="1">
        <v>9</v>
      </c>
      <c r="I12" s="12" t="s">
        <v>29</v>
      </c>
      <c r="J12" s="12" t="s">
        <v>52</v>
      </c>
      <c r="K12" s="1">
        <v>100</v>
      </c>
      <c r="L12" s="1">
        <v>1</v>
      </c>
      <c r="M12" s="1">
        <v>0</v>
      </c>
      <c r="N12" s="1">
        <f t="shared" si="0"/>
        <v>13</v>
      </c>
      <c r="O12" s="1">
        <v>5</v>
      </c>
      <c r="P12" s="12" t="s">
        <v>37</v>
      </c>
      <c r="Q12" s="12" t="s">
        <v>166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171</v>
      </c>
      <c r="G13" s="1">
        <v>10</v>
      </c>
      <c r="H13" s="1">
        <v>10</v>
      </c>
      <c r="I13" s="12" t="s">
        <v>24</v>
      </c>
      <c r="J13" s="12" t="s">
        <v>162</v>
      </c>
      <c r="K13" s="1">
        <v>100</v>
      </c>
      <c r="L13" s="1">
        <v>1</v>
      </c>
      <c r="M13" s="1">
        <v>0</v>
      </c>
      <c r="N13" s="1">
        <f t="shared" si="0"/>
        <v>13</v>
      </c>
      <c r="O13" s="1">
        <v>5</v>
      </c>
      <c r="P13" s="12" t="s">
        <v>37</v>
      </c>
      <c r="Q13" s="12" t="s">
        <v>166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172</v>
      </c>
      <c r="G14" s="1">
        <v>1</v>
      </c>
      <c r="H14" s="1">
        <v>1</v>
      </c>
      <c r="I14" s="12" t="s">
        <v>46</v>
      </c>
      <c r="J14" s="12" t="s">
        <v>160</v>
      </c>
      <c r="K14" s="1">
        <v>100</v>
      </c>
      <c r="L14" s="1">
        <v>2</v>
      </c>
      <c r="M14" s="1">
        <v>0</v>
      </c>
      <c r="N14" s="1">
        <f t="shared" ref="N14:N21" si="1">E14/10*3+2</f>
        <v>14</v>
      </c>
      <c r="O14" s="1">
        <v>5</v>
      </c>
      <c r="P14" s="12" t="s">
        <v>47</v>
      </c>
      <c r="Q14" s="12" t="s">
        <v>27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173</v>
      </c>
      <c r="G15" s="1">
        <v>2</v>
      </c>
      <c r="H15" s="1">
        <v>2</v>
      </c>
      <c r="I15" s="12" t="s">
        <v>29</v>
      </c>
      <c r="J15" s="12" t="s">
        <v>162</v>
      </c>
      <c r="K15" s="1">
        <v>100</v>
      </c>
      <c r="L15" s="1">
        <v>2</v>
      </c>
      <c r="M15" s="1">
        <v>0</v>
      </c>
      <c r="N15" s="1">
        <f t="shared" si="1"/>
        <v>14</v>
      </c>
      <c r="O15" s="1">
        <v>5</v>
      </c>
      <c r="P15" s="12" t="s">
        <v>49</v>
      </c>
      <c r="Q15" s="12" t="s">
        <v>160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174</v>
      </c>
      <c r="G16" s="1">
        <v>3</v>
      </c>
      <c r="H16" s="1">
        <v>3</v>
      </c>
      <c r="I16" s="12" t="s">
        <v>46</v>
      </c>
      <c r="J16" s="12" t="s">
        <v>162</v>
      </c>
      <c r="K16" s="1">
        <v>100</v>
      </c>
      <c r="L16" s="1">
        <v>2</v>
      </c>
      <c r="M16" s="1">
        <v>0</v>
      </c>
      <c r="N16" s="1">
        <f t="shared" si="1"/>
        <v>14</v>
      </c>
      <c r="O16" s="1">
        <v>5</v>
      </c>
      <c r="P16" s="12" t="s">
        <v>47</v>
      </c>
      <c r="Q16" s="12" t="s">
        <v>33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175</v>
      </c>
      <c r="G17" s="1">
        <v>4</v>
      </c>
      <c r="H17" s="1">
        <v>4</v>
      </c>
      <c r="I17" s="12" t="s">
        <v>35</v>
      </c>
      <c r="J17" s="12" t="s">
        <v>165</v>
      </c>
      <c r="K17" s="1">
        <v>100</v>
      </c>
      <c r="L17" s="1">
        <v>2</v>
      </c>
      <c r="M17" s="1">
        <v>0</v>
      </c>
      <c r="N17" s="1">
        <f t="shared" si="1"/>
        <v>14</v>
      </c>
      <c r="O17" s="1">
        <v>5</v>
      </c>
      <c r="P17" s="12" t="s">
        <v>52</v>
      </c>
      <c r="Q17" s="12" t="s">
        <v>166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176</v>
      </c>
      <c r="G18" s="1">
        <v>5</v>
      </c>
      <c r="H18" s="12" t="s">
        <v>40</v>
      </c>
      <c r="I18" s="12" t="s">
        <v>35</v>
      </c>
      <c r="J18" s="12" t="s">
        <v>165</v>
      </c>
      <c r="K18" s="1">
        <v>100</v>
      </c>
      <c r="L18" s="1">
        <v>2</v>
      </c>
      <c r="M18" s="1">
        <v>0</v>
      </c>
      <c r="N18" s="1">
        <f t="shared" si="1"/>
        <v>14</v>
      </c>
      <c r="O18" s="1">
        <v>5</v>
      </c>
      <c r="P18" s="12" t="s">
        <v>49</v>
      </c>
      <c r="Q18" s="12" t="s">
        <v>168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177</v>
      </c>
      <c r="G19" s="1">
        <v>7</v>
      </c>
      <c r="H19" s="12" t="s">
        <v>42</v>
      </c>
      <c r="I19" s="12" t="s">
        <v>46</v>
      </c>
      <c r="J19" s="12" t="s">
        <v>162</v>
      </c>
      <c r="K19" s="1">
        <v>100</v>
      </c>
      <c r="L19" s="1">
        <v>2</v>
      </c>
      <c r="M19" s="1">
        <v>0</v>
      </c>
      <c r="N19" s="1">
        <f t="shared" si="1"/>
        <v>14</v>
      </c>
      <c r="O19" s="1">
        <v>5</v>
      </c>
      <c r="P19" s="12" t="s">
        <v>47</v>
      </c>
      <c r="Q19" s="12" t="s">
        <v>33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178</v>
      </c>
      <c r="G20" s="1">
        <v>9</v>
      </c>
      <c r="H20" s="1">
        <v>9</v>
      </c>
      <c r="I20" s="12" t="s">
        <v>29</v>
      </c>
      <c r="J20" s="12" t="s">
        <v>52</v>
      </c>
      <c r="K20" s="1">
        <v>100</v>
      </c>
      <c r="L20" s="1">
        <v>2</v>
      </c>
      <c r="M20" s="1">
        <v>0</v>
      </c>
      <c r="N20" s="1">
        <f t="shared" si="1"/>
        <v>14</v>
      </c>
      <c r="O20" s="1">
        <v>5</v>
      </c>
      <c r="P20" s="12" t="s">
        <v>52</v>
      </c>
      <c r="Q20" s="12" t="s">
        <v>166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179</v>
      </c>
      <c r="G21" s="1">
        <v>10</v>
      </c>
      <c r="H21" s="1">
        <v>10</v>
      </c>
      <c r="I21" s="12" t="s">
        <v>46</v>
      </c>
      <c r="J21" s="12" t="s">
        <v>162</v>
      </c>
      <c r="K21" s="1">
        <v>100</v>
      </c>
      <c r="L21" s="1">
        <v>2</v>
      </c>
      <c r="M21" s="1">
        <v>0</v>
      </c>
      <c r="N21" s="1">
        <f t="shared" si="1"/>
        <v>14</v>
      </c>
      <c r="O21" s="1">
        <v>5</v>
      </c>
      <c r="P21" s="12" t="s">
        <v>52</v>
      </c>
      <c r="Q21" s="12" t="s">
        <v>166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180</v>
      </c>
      <c r="G22" s="1">
        <v>1</v>
      </c>
      <c r="H22" s="1">
        <v>1</v>
      </c>
      <c r="I22" s="12" t="s">
        <v>58</v>
      </c>
      <c r="J22" s="12" t="s">
        <v>160</v>
      </c>
      <c r="K22" s="1">
        <v>100</v>
      </c>
      <c r="L22" s="1">
        <v>3</v>
      </c>
      <c r="M22" s="1">
        <v>0</v>
      </c>
      <c r="N22" s="1">
        <f t="shared" ref="N22:N29" si="2">E22/10*3+3</f>
        <v>15</v>
      </c>
      <c r="O22" s="1">
        <v>5</v>
      </c>
      <c r="P22" s="12" t="s">
        <v>59</v>
      </c>
      <c r="Q22" s="12" t="s">
        <v>27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181</v>
      </c>
      <c r="G23" s="1">
        <v>2</v>
      </c>
      <c r="H23" s="1">
        <v>2</v>
      </c>
      <c r="I23" s="12" t="s">
        <v>29</v>
      </c>
      <c r="J23" s="12" t="s">
        <v>162</v>
      </c>
      <c r="K23" s="1">
        <v>100</v>
      </c>
      <c r="L23" s="1">
        <v>3</v>
      </c>
      <c r="M23" s="1">
        <v>0</v>
      </c>
      <c r="N23" s="1">
        <f t="shared" si="2"/>
        <v>15</v>
      </c>
      <c r="O23" s="1">
        <v>5</v>
      </c>
      <c r="P23" s="12" t="s">
        <v>61</v>
      </c>
      <c r="Q23" s="12" t="s">
        <v>160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182</v>
      </c>
      <c r="G24" s="1">
        <v>3</v>
      </c>
      <c r="H24" s="1">
        <v>3</v>
      </c>
      <c r="I24" s="12" t="s">
        <v>58</v>
      </c>
      <c r="J24" s="12" t="s">
        <v>162</v>
      </c>
      <c r="K24" s="1">
        <v>100</v>
      </c>
      <c r="L24" s="1">
        <v>3</v>
      </c>
      <c r="M24" s="1">
        <v>0</v>
      </c>
      <c r="N24" s="1">
        <f t="shared" si="2"/>
        <v>15</v>
      </c>
      <c r="O24" s="1">
        <v>5</v>
      </c>
      <c r="P24" s="12" t="s">
        <v>59</v>
      </c>
      <c r="Q24" s="12" t="s">
        <v>33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183</v>
      </c>
      <c r="G25" s="1">
        <v>4</v>
      </c>
      <c r="H25" s="1">
        <v>4</v>
      </c>
      <c r="I25" s="12" t="s">
        <v>35</v>
      </c>
      <c r="J25" s="12" t="s">
        <v>165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12" t="s">
        <v>64</v>
      </c>
      <c r="Q25" s="12" t="s">
        <v>166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184</v>
      </c>
      <c r="G26" s="1">
        <v>5</v>
      </c>
      <c r="H26" s="12" t="s">
        <v>40</v>
      </c>
      <c r="I26" s="12" t="s">
        <v>35</v>
      </c>
      <c r="J26" s="12" t="s">
        <v>165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12" t="s">
        <v>61</v>
      </c>
      <c r="Q26" s="12" t="s">
        <v>168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185</v>
      </c>
      <c r="G27" s="1">
        <v>7</v>
      </c>
      <c r="H27" s="12" t="s">
        <v>42</v>
      </c>
      <c r="I27" s="12" t="s">
        <v>58</v>
      </c>
      <c r="J27" s="12" t="s">
        <v>162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12" t="s">
        <v>59</v>
      </c>
      <c r="Q27" s="12" t="s">
        <v>33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186</v>
      </c>
      <c r="G28" s="1">
        <v>9</v>
      </c>
      <c r="H28" s="1">
        <v>9</v>
      </c>
      <c r="I28" s="12" t="s">
        <v>29</v>
      </c>
      <c r="J28" s="12" t="s">
        <v>52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12" t="s">
        <v>64</v>
      </c>
      <c r="Q28" s="12" t="s">
        <v>166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187</v>
      </c>
      <c r="G29" s="1">
        <v>10</v>
      </c>
      <c r="H29" s="1">
        <v>10</v>
      </c>
      <c r="I29" s="12" t="s">
        <v>58</v>
      </c>
      <c r="J29" s="12" t="s">
        <v>162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12" t="s">
        <v>64</v>
      </c>
      <c r="Q29" s="12" t="s">
        <v>166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188</v>
      </c>
      <c r="G31" s="1">
        <v>1</v>
      </c>
      <c r="H31" s="1">
        <v>1</v>
      </c>
      <c r="I31" s="12" t="s">
        <v>24</v>
      </c>
      <c r="J31" s="12" t="s">
        <v>160</v>
      </c>
      <c r="K31" s="1">
        <v>100</v>
      </c>
      <c r="L31" s="1">
        <v>1</v>
      </c>
      <c r="M31" s="1">
        <v>0</v>
      </c>
      <c r="N31" s="1">
        <f t="shared" ref="N31:N38" si="3">E31/10*3+1</f>
        <v>16</v>
      </c>
      <c r="O31" s="1">
        <v>5</v>
      </c>
      <c r="P31" s="12" t="s">
        <v>26</v>
      </c>
      <c r="Q31" s="12" t="s">
        <v>75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189</v>
      </c>
      <c r="G32" s="1">
        <v>2</v>
      </c>
      <c r="H32" s="1">
        <v>2</v>
      </c>
      <c r="I32" s="12" t="s">
        <v>29</v>
      </c>
      <c r="J32" s="12" t="s">
        <v>162</v>
      </c>
      <c r="K32" s="1">
        <v>100</v>
      </c>
      <c r="L32" s="1">
        <v>1</v>
      </c>
      <c r="M32" s="1">
        <v>0</v>
      </c>
      <c r="N32" s="1">
        <f t="shared" si="3"/>
        <v>16</v>
      </c>
      <c r="O32" s="1">
        <v>5</v>
      </c>
      <c r="P32" s="12" t="s">
        <v>30</v>
      </c>
      <c r="Q32" s="12" t="s">
        <v>75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190</v>
      </c>
      <c r="G33" s="1">
        <v>3</v>
      </c>
      <c r="H33" s="1">
        <v>3</v>
      </c>
      <c r="I33" s="12" t="s">
        <v>24</v>
      </c>
      <c r="J33" s="12" t="s">
        <v>162</v>
      </c>
      <c r="K33" s="1">
        <v>100</v>
      </c>
      <c r="L33" s="1">
        <v>1</v>
      </c>
      <c r="M33" s="1">
        <v>0</v>
      </c>
      <c r="N33" s="1">
        <f t="shared" si="3"/>
        <v>16</v>
      </c>
      <c r="O33" s="1">
        <v>5</v>
      </c>
      <c r="P33" s="12" t="s">
        <v>26</v>
      </c>
      <c r="Q33" s="12" t="s">
        <v>191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192</v>
      </c>
      <c r="G34" s="1">
        <v>4</v>
      </c>
      <c r="H34" s="1">
        <v>4</v>
      </c>
      <c r="I34" s="12" t="s">
        <v>35</v>
      </c>
      <c r="J34" s="12" t="s">
        <v>165</v>
      </c>
      <c r="K34" s="1">
        <v>100</v>
      </c>
      <c r="L34" s="1">
        <v>1</v>
      </c>
      <c r="M34" s="1">
        <v>0</v>
      </c>
      <c r="N34" s="1">
        <f t="shared" si="3"/>
        <v>16</v>
      </c>
      <c r="O34" s="1">
        <v>5</v>
      </c>
      <c r="P34" s="12" t="s">
        <v>37</v>
      </c>
      <c r="Q34" s="12" t="s">
        <v>193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194</v>
      </c>
      <c r="G35" s="1">
        <v>5</v>
      </c>
      <c r="H35" s="12" t="s">
        <v>40</v>
      </c>
      <c r="I35" s="12" t="s">
        <v>35</v>
      </c>
      <c r="J35" s="12" t="s">
        <v>165</v>
      </c>
      <c r="K35" s="1">
        <v>100</v>
      </c>
      <c r="L35" s="1">
        <v>1</v>
      </c>
      <c r="M35" s="1">
        <v>0</v>
      </c>
      <c r="N35" s="1">
        <f t="shared" si="3"/>
        <v>16</v>
      </c>
      <c r="O35" s="1">
        <v>5</v>
      </c>
      <c r="P35" s="12" t="s">
        <v>30</v>
      </c>
      <c r="Q35" s="12" t="s">
        <v>195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196</v>
      </c>
      <c r="G36" s="1">
        <v>7</v>
      </c>
      <c r="H36" s="12" t="s">
        <v>42</v>
      </c>
      <c r="I36" s="12" t="s">
        <v>24</v>
      </c>
      <c r="J36" s="12" t="s">
        <v>162</v>
      </c>
      <c r="K36" s="1">
        <v>100</v>
      </c>
      <c r="L36" s="1">
        <v>1</v>
      </c>
      <c r="M36" s="1">
        <v>0</v>
      </c>
      <c r="N36" s="1">
        <f t="shared" si="3"/>
        <v>16</v>
      </c>
      <c r="O36" s="1">
        <v>5</v>
      </c>
      <c r="P36" s="12" t="s">
        <v>26</v>
      </c>
      <c r="Q36" s="12" t="s">
        <v>191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197</v>
      </c>
      <c r="G37" s="1">
        <v>9</v>
      </c>
      <c r="H37" s="1">
        <v>9</v>
      </c>
      <c r="I37" s="12" t="s">
        <v>29</v>
      </c>
      <c r="J37" s="12" t="s">
        <v>52</v>
      </c>
      <c r="K37" s="1">
        <v>100</v>
      </c>
      <c r="L37" s="1">
        <v>1</v>
      </c>
      <c r="M37" s="1">
        <v>0</v>
      </c>
      <c r="N37" s="1">
        <f t="shared" si="3"/>
        <v>16</v>
      </c>
      <c r="O37" s="1">
        <v>5</v>
      </c>
      <c r="P37" s="12" t="s">
        <v>37</v>
      </c>
      <c r="Q37" s="12" t="s">
        <v>193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198</v>
      </c>
      <c r="G38" s="1">
        <v>10</v>
      </c>
      <c r="H38" s="1">
        <v>10</v>
      </c>
      <c r="I38" s="12" t="s">
        <v>24</v>
      </c>
      <c r="J38" s="12" t="s">
        <v>162</v>
      </c>
      <c r="K38" s="1">
        <v>100</v>
      </c>
      <c r="L38" s="1">
        <v>1</v>
      </c>
      <c r="M38" s="1">
        <v>0</v>
      </c>
      <c r="N38" s="1">
        <f t="shared" si="3"/>
        <v>16</v>
      </c>
      <c r="O38" s="1">
        <v>5</v>
      </c>
      <c r="P38" s="12" t="s">
        <v>37</v>
      </c>
      <c r="Q38" s="12" t="s">
        <v>193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199</v>
      </c>
      <c r="G39" s="1">
        <v>1</v>
      </c>
      <c r="H39" s="1">
        <v>1</v>
      </c>
      <c r="I39" s="12" t="s">
        <v>46</v>
      </c>
      <c r="J39" s="12" t="s">
        <v>160</v>
      </c>
      <c r="K39" s="1">
        <v>100</v>
      </c>
      <c r="L39" s="1">
        <v>2</v>
      </c>
      <c r="M39" s="1">
        <v>0</v>
      </c>
      <c r="N39" s="1">
        <f t="shared" ref="N39:N46" si="4">E39/10*3+2</f>
        <v>17</v>
      </c>
      <c r="O39" s="1">
        <v>5</v>
      </c>
      <c r="P39" s="12" t="s">
        <v>47</v>
      </c>
      <c r="Q39" s="12" t="s">
        <v>75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200</v>
      </c>
      <c r="G40" s="1">
        <v>2</v>
      </c>
      <c r="H40" s="1">
        <v>2</v>
      </c>
      <c r="I40" s="12" t="s">
        <v>29</v>
      </c>
      <c r="J40" s="12" t="s">
        <v>162</v>
      </c>
      <c r="K40" s="1">
        <v>100</v>
      </c>
      <c r="L40" s="1">
        <v>2</v>
      </c>
      <c r="M40" s="1">
        <v>0</v>
      </c>
      <c r="N40" s="1">
        <f t="shared" si="4"/>
        <v>17</v>
      </c>
      <c r="O40" s="1">
        <v>5</v>
      </c>
      <c r="P40" s="12" t="s">
        <v>49</v>
      </c>
      <c r="Q40" s="12" t="s">
        <v>75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201</v>
      </c>
      <c r="G41" s="1">
        <v>3</v>
      </c>
      <c r="H41" s="1">
        <v>3</v>
      </c>
      <c r="I41" s="12" t="s">
        <v>46</v>
      </c>
      <c r="J41" s="12" t="s">
        <v>162</v>
      </c>
      <c r="K41" s="1">
        <v>100</v>
      </c>
      <c r="L41" s="1">
        <v>2</v>
      </c>
      <c r="M41" s="1">
        <v>0</v>
      </c>
      <c r="N41" s="1">
        <f t="shared" si="4"/>
        <v>17</v>
      </c>
      <c r="O41" s="1">
        <v>5</v>
      </c>
      <c r="P41" s="12" t="s">
        <v>47</v>
      </c>
      <c r="Q41" s="12" t="s">
        <v>191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202</v>
      </c>
      <c r="G42" s="1">
        <v>4</v>
      </c>
      <c r="H42" s="1">
        <v>4</v>
      </c>
      <c r="I42" s="12" t="s">
        <v>35</v>
      </c>
      <c r="J42" s="12" t="s">
        <v>165</v>
      </c>
      <c r="K42" s="1">
        <v>100</v>
      </c>
      <c r="L42" s="1">
        <v>2</v>
      </c>
      <c r="M42" s="1">
        <v>0</v>
      </c>
      <c r="N42" s="1">
        <f t="shared" si="4"/>
        <v>17</v>
      </c>
      <c r="O42" s="1">
        <v>5</v>
      </c>
      <c r="P42" s="12" t="s">
        <v>52</v>
      </c>
      <c r="Q42" s="12" t="s">
        <v>193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203</v>
      </c>
      <c r="G43" s="1">
        <v>5</v>
      </c>
      <c r="H43" s="12" t="s">
        <v>40</v>
      </c>
      <c r="I43" s="12" t="s">
        <v>35</v>
      </c>
      <c r="J43" s="12" t="s">
        <v>165</v>
      </c>
      <c r="K43" s="1">
        <v>100</v>
      </c>
      <c r="L43" s="1">
        <v>2</v>
      </c>
      <c r="M43" s="1">
        <v>0</v>
      </c>
      <c r="N43" s="1">
        <f t="shared" si="4"/>
        <v>17</v>
      </c>
      <c r="O43" s="1">
        <v>5</v>
      </c>
      <c r="P43" s="12" t="s">
        <v>49</v>
      </c>
      <c r="Q43" s="12" t="s">
        <v>195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204</v>
      </c>
      <c r="G44" s="1">
        <v>7</v>
      </c>
      <c r="H44" s="12" t="s">
        <v>42</v>
      </c>
      <c r="I44" s="12" t="s">
        <v>46</v>
      </c>
      <c r="J44" s="12" t="s">
        <v>162</v>
      </c>
      <c r="K44" s="1">
        <v>100</v>
      </c>
      <c r="L44" s="1">
        <v>2</v>
      </c>
      <c r="M44" s="1">
        <v>0</v>
      </c>
      <c r="N44" s="1">
        <f t="shared" si="4"/>
        <v>17</v>
      </c>
      <c r="O44" s="1">
        <v>5</v>
      </c>
      <c r="P44" s="12" t="s">
        <v>47</v>
      </c>
      <c r="Q44" s="12" t="s">
        <v>191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205</v>
      </c>
      <c r="G45" s="1">
        <v>9</v>
      </c>
      <c r="H45" s="1">
        <v>9</v>
      </c>
      <c r="I45" s="12" t="s">
        <v>29</v>
      </c>
      <c r="J45" s="12" t="s">
        <v>52</v>
      </c>
      <c r="K45" s="1">
        <v>100</v>
      </c>
      <c r="L45" s="1">
        <v>2</v>
      </c>
      <c r="M45" s="1">
        <v>0</v>
      </c>
      <c r="N45" s="1">
        <f t="shared" si="4"/>
        <v>17</v>
      </c>
      <c r="O45" s="1">
        <v>5</v>
      </c>
      <c r="P45" s="12" t="s">
        <v>52</v>
      </c>
      <c r="Q45" s="12" t="s">
        <v>193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206</v>
      </c>
      <c r="G46" s="1">
        <v>10</v>
      </c>
      <c r="H46" s="1">
        <v>10</v>
      </c>
      <c r="I46" s="12" t="s">
        <v>46</v>
      </c>
      <c r="J46" s="12" t="s">
        <v>162</v>
      </c>
      <c r="K46" s="1">
        <v>100</v>
      </c>
      <c r="L46" s="1">
        <v>2</v>
      </c>
      <c r="M46" s="1">
        <v>0</v>
      </c>
      <c r="N46" s="1">
        <f t="shared" si="4"/>
        <v>17</v>
      </c>
      <c r="O46" s="1">
        <v>5</v>
      </c>
      <c r="P46" s="12" t="s">
        <v>52</v>
      </c>
      <c r="Q46" s="12" t="s">
        <v>193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207</v>
      </c>
      <c r="G47" s="1">
        <v>1</v>
      </c>
      <c r="H47" s="1">
        <v>1</v>
      </c>
      <c r="I47" s="12" t="s">
        <v>58</v>
      </c>
      <c r="J47" s="12" t="s">
        <v>160</v>
      </c>
      <c r="K47" s="1">
        <v>100</v>
      </c>
      <c r="L47" s="1">
        <v>3</v>
      </c>
      <c r="M47" s="1">
        <v>0</v>
      </c>
      <c r="N47" s="1">
        <f t="shared" ref="N47:N54" si="5">E47/10*3+3</f>
        <v>18</v>
      </c>
      <c r="O47" s="1">
        <v>5</v>
      </c>
      <c r="P47" s="12" t="s">
        <v>59</v>
      </c>
      <c r="Q47" s="12" t="s">
        <v>75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208</v>
      </c>
      <c r="G48" s="1">
        <v>2</v>
      </c>
      <c r="H48" s="1">
        <v>2</v>
      </c>
      <c r="I48" s="12" t="s">
        <v>29</v>
      </c>
      <c r="J48" s="12" t="s">
        <v>162</v>
      </c>
      <c r="K48" s="1">
        <v>100</v>
      </c>
      <c r="L48" s="1">
        <v>3</v>
      </c>
      <c r="M48" s="1">
        <v>0</v>
      </c>
      <c r="N48" s="1">
        <f t="shared" si="5"/>
        <v>18</v>
      </c>
      <c r="O48" s="1">
        <v>5</v>
      </c>
      <c r="P48" s="12" t="s">
        <v>61</v>
      </c>
      <c r="Q48" s="12" t="s">
        <v>75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209</v>
      </c>
      <c r="G49" s="1">
        <v>3</v>
      </c>
      <c r="H49" s="1">
        <v>3</v>
      </c>
      <c r="I49" s="12" t="s">
        <v>58</v>
      </c>
      <c r="J49" s="12" t="s">
        <v>162</v>
      </c>
      <c r="K49" s="1">
        <v>100</v>
      </c>
      <c r="L49" s="1">
        <v>3</v>
      </c>
      <c r="M49" s="1">
        <v>0</v>
      </c>
      <c r="N49" s="1">
        <f t="shared" si="5"/>
        <v>18</v>
      </c>
      <c r="O49" s="1">
        <v>5</v>
      </c>
      <c r="P49" s="12" t="s">
        <v>59</v>
      </c>
      <c r="Q49" s="12" t="s">
        <v>191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210</v>
      </c>
      <c r="G50" s="1">
        <v>4</v>
      </c>
      <c r="H50" s="1">
        <v>4</v>
      </c>
      <c r="I50" s="12" t="s">
        <v>35</v>
      </c>
      <c r="J50" s="12" t="s">
        <v>165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12" t="s">
        <v>64</v>
      </c>
      <c r="Q50" s="12" t="s">
        <v>193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211</v>
      </c>
      <c r="G51" s="1">
        <v>5</v>
      </c>
      <c r="H51" s="12" t="s">
        <v>40</v>
      </c>
      <c r="I51" s="12" t="s">
        <v>35</v>
      </c>
      <c r="J51" s="12" t="s">
        <v>165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12" t="s">
        <v>61</v>
      </c>
      <c r="Q51" s="12" t="s">
        <v>195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212</v>
      </c>
      <c r="G52" s="1">
        <v>7</v>
      </c>
      <c r="H52" s="12" t="s">
        <v>42</v>
      </c>
      <c r="I52" s="12" t="s">
        <v>58</v>
      </c>
      <c r="J52" s="12" t="s">
        <v>162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12" t="s">
        <v>59</v>
      </c>
      <c r="Q52" s="12" t="s">
        <v>191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213</v>
      </c>
      <c r="G53" s="1">
        <v>9</v>
      </c>
      <c r="H53" s="1">
        <v>9</v>
      </c>
      <c r="I53" s="12" t="s">
        <v>29</v>
      </c>
      <c r="J53" s="12" t="s">
        <v>52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12" t="s">
        <v>64</v>
      </c>
      <c r="Q53" s="12" t="s">
        <v>193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214</v>
      </c>
      <c r="G54" s="1">
        <v>10</v>
      </c>
      <c r="H54" s="1">
        <v>10</v>
      </c>
      <c r="I54" s="12" t="s">
        <v>58</v>
      </c>
      <c r="J54" s="12" t="s">
        <v>162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12" t="s">
        <v>64</v>
      </c>
      <c r="Q54" s="12" t="s">
        <v>193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215</v>
      </c>
      <c r="G56" s="1">
        <v>1</v>
      </c>
      <c r="H56" s="1">
        <v>1</v>
      </c>
      <c r="I56" s="12" t="s">
        <v>24</v>
      </c>
      <c r="J56" s="12" t="s">
        <v>160</v>
      </c>
      <c r="K56" s="1">
        <v>100</v>
      </c>
      <c r="L56" s="1">
        <v>1</v>
      </c>
      <c r="M56" s="1">
        <v>0</v>
      </c>
      <c r="N56" s="1">
        <f t="shared" ref="N56:N63" si="6">E56/10*3+1</f>
        <v>19</v>
      </c>
      <c r="O56" s="1">
        <v>5</v>
      </c>
      <c r="P56" s="12" t="s">
        <v>26</v>
      </c>
      <c r="Q56" s="12" t="s">
        <v>216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217</v>
      </c>
      <c r="G57" s="1">
        <v>2</v>
      </c>
      <c r="H57" s="1">
        <v>2</v>
      </c>
      <c r="I57" s="12" t="s">
        <v>29</v>
      </c>
      <c r="J57" s="12" t="s">
        <v>162</v>
      </c>
      <c r="K57" s="1">
        <v>100</v>
      </c>
      <c r="L57" s="1">
        <v>1</v>
      </c>
      <c r="M57" s="1">
        <v>0</v>
      </c>
      <c r="N57" s="1">
        <f t="shared" si="6"/>
        <v>19</v>
      </c>
      <c r="O57" s="1">
        <v>5</v>
      </c>
      <c r="P57" s="12" t="s">
        <v>30</v>
      </c>
      <c r="Q57" s="12" t="s">
        <v>218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219</v>
      </c>
      <c r="G58" s="1">
        <v>3</v>
      </c>
      <c r="H58" s="1">
        <v>3</v>
      </c>
      <c r="I58" s="12" t="s">
        <v>24</v>
      </c>
      <c r="J58" s="12" t="s">
        <v>162</v>
      </c>
      <c r="K58" s="1">
        <v>100</v>
      </c>
      <c r="L58" s="1">
        <v>1</v>
      </c>
      <c r="M58" s="1">
        <v>0</v>
      </c>
      <c r="N58" s="1">
        <f t="shared" si="6"/>
        <v>19</v>
      </c>
      <c r="O58" s="1">
        <v>5</v>
      </c>
      <c r="P58" s="12" t="s">
        <v>26</v>
      </c>
      <c r="Q58" s="12" t="s">
        <v>220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221</v>
      </c>
      <c r="G59" s="1">
        <v>4</v>
      </c>
      <c r="H59" s="1">
        <v>4</v>
      </c>
      <c r="I59" s="12" t="s">
        <v>35</v>
      </c>
      <c r="J59" s="12" t="s">
        <v>165</v>
      </c>
      <c r="K59" s="1">
        <v>100</v>
      </c>
      <c r="L59" s="1">
        <v>1</v>
      </c>
      <c r="M59" s="1">
        <v>0</v>
      </c>
      <c r="N59" s="1">
        <f t="shared" si="6"/>
        <v>19</v>
      </c>
      <c r="O59" s="1">
        <v>5</v>
      </c>
      <c r="P59" s="12" t="s">
        <v>37</v>
      </c>
      <c r="Q59" s="12" t="s">
        <v>222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223</v>
      </c>
      <c r="G60" s="1">
        <v>5</v>
      </c>
      <c r="H60" s="12" t="s">
        <v>40</v>
      </c>
      <c r="I60" s="12" t="s">
        <v>35</v>
      </c>
      <c r="J60" s="12" t="s">
        <v>165</v>
      </c>
      <c r="K60" s="1">
        <v>100</v>
      </c>
      <c r="L60" s="1">
        <v>1</v>
      </c>
      <c r="M60" s="1">
        <v>0</v>
      </c>
      <c r="N60" s="1">
        <f t="shared" si="6"/>
        <v>19</v>
      </c>
      <c r="O60" s="1">
        <v>5</v>
      </c>
      <c r="P60" s="12" t="s">
        <v>30</v>
      </c>
      <c r="Q60" s="12" t="s">
        <v>224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225</v>
      </c>
      <c r="G61" s="1">
        <v>7</v>
      </c>
      <c r="H61" s="12" t="s">
        <v>42</v>
      </c>
      <c r="I61" s="12" t="s">
        <v>24</v>
      </c>
      <c r="J61" s="12" t="s">
        <v>162</v>
      </c>
      <c r="K61" s="1">
        <v>100</v>
      </c>
      <c r="L61" s="1">
        <v>1</v>
      </c>
      <c r="M61" s="1">
        <v>0</v>
      </c>
      <c r="N61" s="1">
        <f t="shared" si="6"/>
        <v>19</v>
      </c>
      <c r="O61" s="1">
        <v>5</v>
      </c>
      <c r="P61" s="12" t="s">
        <v>26</v>
      </c>
      <c r="Q61" s="12" t="s">
        <v>220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226</v>
      </c>
      <c r="G62" s="1">
        <v>9</v>
      </c>
      <c r="H62" s="1">
        <v>9</v>
      </c>
      <c r="I62" s="12" t="s">
        <v>29</v>
      </c>
      <c r="J62" s="12" t="s">
        <v>52</v>
      </c>
      <c r="K62" s="1">
        <v>100</v>
      </c>
      <c r="L62" s="1">
        <v>1</v>
      </c>
      <c r="M62" s="1">
        <v>0</v>
      </c>
      <c r="N62" s="1">
        <f t="shared" si="6"/>
        <v>19</v>
      </c>
      <c r="O62" s="1">
        <v>5</v>
      </c>
      <c r="P62" s="12" t="s">
        <v>37</v>
      </c>
      <c r="Q62" s="12" t="s">
        <v>222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227</v>
      </c>
      <c r="G63" s="1">
        <v>10</v>
      </c>
      <c r="H63" s="1">
        <v>10</v>
      </c>
      <c r="I63" s="12" t="s">
        <v>24</v>
      </c>
      <c r="J63" s="12" t="s">
        <v>162</v>
      </c>
      <c r="K63" s="1">
        <v>100</v>
      </c>
      <c r="L63" s="1">
        <v>1</v>
      </c>
      <c r="M63" s="1">
        <v>0</v>
      </c>
      <c r="N63" s="1">
        <f t="shared" si="6"/>
        <v>19</v>
      </c>
      <c r="O63" s="1">
        <v>5</v>
      </c>
      <c r="P63" s="12" t="s">
        <v>37</v>
      </c>
      <c r="Q63" s="12" t="s">
        <v>222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228</v>
      </c>
      <c r="G64" s="1">
        <v>1</v>
      </c>
      <c r="H64" s="1">
        <v>1</v>
      </c>
      <c r="I64" s="12" t="s">
        <v>46</v>
      </c>
      <c r="J64" s="12" t="s">
        <v>160</v>
      </c>
      <c r="K64" s="1">
        <v>100</v>
      </c>
      <c r="L64" s="1">
        <v>2</v>
      </c>
      <c r="M64" s="1">
        <v>0</v>
      </c>
      <c r="N64" s="1">
        <f t="shared" ref="N64:N71" si="7">E64/10*3+2</f>
        <v>20</v>
      </c>
      <c r="O64" s="1">
        <v>5</v>
      </c>
      <c r="P64" s="12" t="s">
        <v>47</v>
      </c>
      <c r="Q64" s="12" t="s">
        <v>216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229</v>
      </c>
      <c r="G65" s="1">
        <v>2</v>
      </c>
      <c r="H65" s="1">
        <v>2</v>
      </c>
      <c r="I65" s="12" t="s">
        <v>29</v>
      </c>
      <c r="J65" s="12" t="s">
        <v>162</v>
      </c>
      <c r="K65" s="1">
        <v>100</v>
      </c>
      <c r="L65" s="1">
        <v>2</v>
      </c>
      <c r="M65" s="1">
        <v>0</v>
      </c>
      <c r="N65" s="1">
        <f t="shared" si="7"/>
        <v>20</v>
      </c>
      <c r="O65" s="1">
        <v>5</v>
      </c>
      <c r="P65" s="12" t="s">
        <v>49</v>
      </c>
      <c r="Q65" s="12" t="s">
        <v>218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230</v>
      </c>
      <c r="G66" s="1">
        <v>3</v>
      </c>
      <c r="H66" s="1">
        <v>3</v>
      </c>
      <c r="I66" s="12" t="s">
        <v>46</v>
      </c>
      <c r="J66" s="12" t="s">
        <v>162</v>
      </c>
      <c r="K66" s="1">
        <v>100</v>
      </c>
      <c r="L66" s="1">
        <v>2</v>
      </c>
      <c r="M66" s="1">
        <v>0</v>
      </c>
      <c r="N66" s="1">
        <f t="shared" si="7"/>
        <v>20</v>
      </c>
      <c r="O66" s="1">
        <v>5</v>
      </c>
      <c r="P66" s="12" t="s">
        <v>47</v>
      </c>
      <c r="Q66" s="12" t="s">
        <v>220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231</v>
      </c>
      <c r="G67" s="1">
        <v>4</v>
      </c>
      <c r="H67" s="1">
        <v>4</v>
      </c>
      <c r="I67" s="12" t="s">
        <v>35</v>
      </c>
      <c r="J67" s="12" t="s">
        <v>165</v>
      </c>
      <c r="K67" s="1">
        <v>100</v>
      </c>
      <c r="L67" s="1">
        <v>2</v>
      </c>
      <c r="M67" s="1">
        <v>0</v>
      </c>
      <c r="N67" s="1">
        <f t="shared" si="7"/>
        <v>20</v>
      </c>
      <c r="O67" s="1">
        <v>5</v>
      </c>
      <c r="P67" s="12" t="s">
        <v>52</v>
      </c>
      <c r="Q67" s="12" t="s">
        <v>222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232</v>
      </c>
      <c r="G68" s="1">
        <v>5</v>
      </c>
      <c r="H68" s="12" t="s">
        <v>40</v>
      </c>
      <c r="I68" s="12" t="s">
        <v>35</v>
      </c>
      <c r="J68" s="12" t="s">
        <v>165</v>
      </c>
      <c r="K68" s="1">
        <v>100</v>
      </c>
      <c r="L68" s="1">
        <v>2</v>
      </c>
      <c r="M68" s="1">
        <v>0</v>
      </c>
      <c r="N68" s="1">
        <f t="shared" si="7"/>
        <v>20</v>
      </c>
      <c r="O68" s="1">
        <v>5</v>
      </c>
      <c r="P68" s="12" t="s">
        <v>49</v>
      </c>
      <c r="Q68" s="12" t="s">
        <v>224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233</v>
      </c>
      <c r="G69" s="1">
        <v>7</v>
      </c>
      <c r="H69" s="12" t="s">
        <v>42</v>
      </c>
      <c r="I69" s="12" t="s">
        <v>46</v>
      </c>
      <c r="J69" s="12" t="s">
        <v>162</v>
      </c>
      <c r="K69" s="1">
        <v>100</v>
      </c>
      <c r="L69" s="1">
        <v>2</v>
      </c>
      <c r="M69" s="1">
        <v>0</v>
      </c>
      <c r="N69" s="1">
        <f t="shared" si="7"/>
        <v>20</v>
      </c>
      <c r="O69" s="1">
        <v>5</v>
      </c>
      <c r="P69" s="12" t="s">
        <v>47</v>
      </c>
      <c r="Q69" s="12" t="s">
        <v>220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234</v>
      </c>
      <c r="G70" s="1">
        <v>9</v>
      </c>
      <c r="H70" s="1">
        <v>9</v>
      </c>
      <c r="I70" s="12" t="s">
        <v>29</v>
      </c>
      <c r="J70" s="12" t="s">
        <v>52</v>
      </c>
      <c r="K70" s="1">
        <v>100</v>
      </c>
      <c r="L70" s="1">
        <v>2</v>
      </c>
      <c r="M70" s="1">
        <v>0</v>
      </c>
      <c r="N70" s="1">
        <f t="shared" si="7"/>
        <v>20</v>
      </c>
      <c r="O70" s="1">
        <v>5</v>
      </c>
      <c r="P70" s="12" t="s">
        <v>52</v>
      </c>
      <c r="Q70" s="12" t="s">
        <v>222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235</v>
      </c>
      <c r="G71" s="1">
        <v>10</v>
      </c>
      <c r="H71" s="1">
        <v>10</v>
      </c>
      <c r="I71" s="12" t="s">
        <v>46</v>
      </c>
      <c r="J71" s="12" t="s">
        <v>162</v>
      </c>
      <c r="K71" s="1">
        <v>100</v>
      </c>
      <c r="L71" s="1">
        <v>2</v>
      </c>
      <c r="M71" s="1">
        <v>0</v>
      </c>
      <c r="N71" s="1">
        <f t="shared" si="7"/>
        <v>20</v>
      </c>
      <c r="O71" s="1">
        <v>5</v>
      </c>
      <c r="P71" s="12" t="s">
        <v>52</v>
      </c>
      <c r="Q71" s="12" t="s">
        <v>222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236</v>
      </c>
      <c r="G72" s="1">
        <v>1</v>
      </c>
      <c r="H72" s="1">
        <v>1</v>
      </c>
      <c r="I72" s="12" t="s">
        <v>58</v>
      </c>
      <c r="J72" s="12" t="s">
        <v>160</v>
      </c>
      <c r="K72" s="1">
        <v>100</v>
      </c>
      <c r="L72" s="1">
        <v>3</v>
      </c>
      <c r="M72" s="1">
        <v>0</v>
      </c>
      <c r="N72" s="1">
        <f t="shared" ref="N72:N79" si="8">E72/10*3+3</f>
        <v>21</v>
      </c>
      <c r="O72" s="1">
        <v>5</v>
      </c>
      <c r="P72" s="12" t="s">
        <v>59</v>
      </c>
      <c r="Q72" s="12" t="s">
        <v>216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237</v>
      </c>
      <c r="G73" s="1">
        <v>2</v>
      </c>
      <c r="H73" s="1">
        <v>2</v>
      </c>
      <c r="I73" s="12" t="s">
        <v>29</v>
      </c>
      <c r="J73" s="12" t="s">
        <v>162</v>
      </c>
      <c r="K73" s="1">
        <v>100</v>
      </c>
      <c r="L73" s="1">
        <v>3</v>
      </c>
      <c r="M73" s="1">
        <v>0</v>
      </c>
      <c r="N73" s="1">
        <f t="shared" si="8"/>
        <v>21</v>
      </c>
      <c r="O73" s="1">
        <v>5</v>
      </c>
      <c r="P73" s="12" t="s">
        <v>61</v>
      </c>
      <c r="Q73" s="12" t="s">
        <v>218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238</v>
      </c>
      <c r="G74" s="1">
        <v>3</v>
      </c>
      <c r="H74" s="1">
        <v>3</v>
      </c>
      <c r="I74" s="12" t="s">
        <v>58</v>
      </c>
      <c r="J74" s="12" t="s">
        <v>162</v>
      </c>
      <c r="K74" s="1">
        <v>100</v>
      </c>
      <c r="L74" s="1">
        <v>3</v>
      </c>
      <c r="M74" s="1">
        <v>0</v>
      </c>
      <c r="N74" s="1">
        <f t="shared" si="8"/>
        <v>21</v>
      </c>
      <c r="O74" s="1">
        <v>5</v>
      </c>
      <c r="P74" s="12" t="s">
        <v>59</v>
      </c>
      <c r="Q74" s="12" t="s">
        <v>220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239</v>
      </c>
      <c r="G75" s="1">
        <v>4</v>
      </c>
      <c r="H75" s="1">
        <v>4</v>
      </c>
      <c r="I75" s="12" t="s">
        <v>35</v>
      </c>
      <c r="J75" s="12" t="s">
        <v>165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12" t="s">
        <v>64</v>
      </c>
      <c r="Q75" s="12" t="s">
        <v>222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240</v>
      </c>
      <c r="G76" s="1">
        <v>5</v>
      </c>
      <c r="H76" s="12" t="s">
        <v>40</v>
      </c>
      <c r="I76" s="12" t="s">
        <v>35</v>
      </c>
      <c r="J76" s="12" t="s">
        <v>165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12" t="s">
        <v>61</v>
      </c>
      <c r="Q76" s="12" t="s">
        <v>224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241</v>
      </c>
      <c r="G77" s="1">
        <v>7</v>
      </c>
      <c r="H77" s="12" t="s">
        <v>42</v>
      </c>
      <c r="I77" s="12" t="s">
        <v>58</v>
      </c>
      <c r="J77" s="12" t="s">
        <v>162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12" t="s">
        <v>59</v>
      </c>
      <c r="Q77" s="12" t="s">
        <v>220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242</v>
      </c>
      <c r="G78" s="1">
        <v>9</v>
      </c>
      <c r="H78" s="1">
        <v>9</v>
      </c>
      <c r="I78" s="12" t="s">
        <v>29</v>
      </c>
      <c r="J78" s="12" t="s">
        <v>52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12" t="s">
        <v>64</v>
      </c>
      <c r="Q78" s="12" t="s">
        <v>222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243</v>
      </c>
      <c r="G79" s="1">
        <v>10</v>
      </c>
      <c r="H79" s="1">
        <v>10</v>
      </c>
      <c r="I79" s="12" t="s">
        <v>58</v>
      </c>
      <c r="J79" s="12" t="s">
        <v>162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12" t="s">
        <v>64</v>
      </c>
      <c r="Q79" s="12" t="s">
        <v>222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244</v>
      </c>
      <c r="G81" s="1">
        <v>1</v>
      </c>
      <c r="H81" s="1">
        <v>1</v>
      </c>
      <c r="I81" s="12" t="s">
        <v>24</v>
      </c>
      <c r="J81" s="12" t="s">
        <v>160</v>
      </c>
      <c r="K81" s="1">
        <v>100</v>
      </c>
      <c r="L81" s="1">
        <v>1</v>
      </c>
      <c r="M81" s="1">
        <v>0</v>
      </c>
      <c r="N81" s="1">
        <f t="shared" ref="N81:N88" si="9">E81/10*3+1</f>
        <v>22</v>
      </c>
      <c r="O81" s="1">
        <v>5</v>
      </c>
      <c r="P81" s="12" t="s">
        <v>26</v>
      </c>
      <c r="Q81" s="12" t="s">
        <v>71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245</v>
      </c>
      <c r="G82" s="1">
        <v>2</v>
      </c>
      <c r="H82" s="1">
        <v>2</v>
      </c>
      <c r="I82" s="12" t="s">
        <v>29</v>
      </c>
      <c r="J82" s="12" t="s">
        <v>162</v>
      </c>
      <c r="K82" s="1">
        <v>100</v>
      </c>
      <c r="L82" s="1">
        <v>1</v>
      </c>
      <c r="M82" s="1">
        <v>0</v>
      </c>
      <c r="N82" s="1">
        <f t="shared" si="9"/>
        <v>22</v>
      </c>
      <c r="O82" s="1">
        <v>5</v>
      </c>
      <c r="P82" s="12" t="s">
        <v>30</v>
      </c>
      <c r="Q82" s="12" t="s">
        <v>246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247</v>
      </c>
      <c r="G83" s="1">
        <v>3</v>
      </c>
      <c r="H83" s="1">
        <v>3</v>
      </c>
      <c r="I83" s="12" t="s">
        <v>24</v>
      </c>
      <c r="J83" s="12" t="s">
        <v>162</v>
      </c>
      <c r="K83" s="1">
        <v>100</v>
      </c>
      <c r="L83" s="1">
        <v>1</v>
      </c>
      <c r="M83" s="1">
        <v>0</v>
      </c>
      <c r="N83" s="1">
        <f t="shared" si="9"/>
        <v>22</v>
      </c>
      <c r="O83" s="1">
        <v>5</v>
      </c>
      <c r="P83" s="12" t="s">
        <v>26</v>
      </c>
      <c r="Q83" s="12" t="s">
        <v>75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248</v>
      </c>
      <c r="G84" s="1">
        <v>4</v>
      </c>
      <c r="H84" s="1">
        <v>4</v>
      </c>
      <c r="I84" s="12" t="s">
        <v>35</v>
      </c>
      <c r="J84" s="12" t="s">
        <v>165</v>
      </c>
      <c r="K84" s="1">
        <v>100</v>
      </c>
      <c r="L84" s="1">
        <v>1</v>
      </c>
      <c r="M84" s="1">
        <v>0</v>
      </c>
      <c r="N84" s="1">
        <f t="shared" si="9"/>
        <v>22</v>
      </c>
      <c r="O84" s="1">
        <v>5</v>
      </c>
      <c r="P84" s="12" t="s">
        <v>37</v>
      </c>
      <c r="Q84" s="12" t="s">
        <v>249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250</v>
      </c>
      <c r="G85" s="1">
        <v>5</v>
      </c>
      <c r="H85" s="12" t="s">
        <v>40</v>
      </c>
      <c r="I85" s="12" t="s">
        <v>35</v>
      </c>
      <c r="J85" s="12" t="s">
        <v>165</v>
      </c>
      <c r="K85" s="1">
        <v>100</v>
      </c>
      <c r="L85" s="1">
        <v>1</v>
      </c>
      <c r="M85" s="1">
        <v>0</v>
      </c>
      <c r="N85" s="1">
        <f t="shared" si="9"/>
        <v>22</v>
      </c>
      <c r="O85" s="1">
        <v>5</v>
      </c>
      <c r="P85" s="12" t="s">
        <v>30</v>
      </c>
      <c r="Q85" s="12" t="s">
        <v>251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252</v>
      </c>
      <c r="G86" s="1">
        <v>7</v>
      </c>
      <c r="H86" s="12" t="s">
        <v>42</v>
      </c>
      <c r="I86" s="12" t="s">
        <v>24</v>
      </c>
      <c r="J86" s="12" t="s">
        <v>162</v>
      </c>
      <c r="K86" s="1">
        <v>100</v>
      </c>
      <c r="L86" s="1">
        <v>1</v>
      </c>
      <c r="M86" s="1">
        <v>0</v>
      </c>
      <c r="N86" s="1">
        <f t="shared" si="9"/>
        <v>22</v>
      </c>
      <c r="O86" s="1">
        <v>5</v>
      </c>
      <c r="P86" s="12" t="s">
        <v>26</v>
      </c>
      <c r="Q86" s="12" t="s">
        <v>75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253</v>
      </c>
      <c r="G87" s="1">
        <v>9</v>
      </c>
      <c r="H87" s="1">
        <v>9</v>
      </c>
      <c r="I87" s="12" t="s">
        <v>29</v>
      </c>
      <c r="J87" s="12" t="s">
        <v>52</v>
      </c>
      <c r="K87" s="1">
        <v>100</v>
      </c>
      <c r="L87" s="1">
        <v>1</v>
      </c>
      <c r="M87" s="1">
        <v>0</v>
      </c>
      <c r="N87" s="1">
        <f t="shared" si="9"/>
        <v>22</v>
      </c>
      <c r="O87" s="1">
        <v>5</v>
      </c>
      <c r="P87" s="12" t="s">
        <v>37</v>
      </c>
      <c r="Q87" s="12" t="s">
        <v>249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254</v>
      </c>
      <c r="G88" s="1">
        <v>10</v>
      </c>
      <c r="H88" s="1">
        <v>10</v>
      </c>
      <c r="I88" s="12" t="s">
        <v>24</v>
      </c>
      <c r="J88" s="12" t="s">
        <v>162</v>
      </c>
      <c r="K88" s="1">
        <v>100</v>
      </c>
      <c r="L88" s="1">
        <v>1</v>
      </c>
      <c r="M88" s="1">
        <v>0</v>
      </c>
      <c r="N88" s="1">
        <f t="shared" si="9"/>
        <v>22</v>
      </c>
      <c r="O88" s="1">
        <v>5</v>
      </c>
      <c r="P88" s="12" t="s">
        <v>37</v>
      </c>
      <c r="Q88" s="12" t="s">
        <v>249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255</v>
      </c>
      <c r="G89" s="1">
        <v>1</v>
      </c>
      <c r="H89" s="1">
        <v>1</v>
      </c>
      <c r="I89" s="12" t="s">
        <v>46</v>
      </c>
      <c r="J89" s="12" t="s">
        <v>160</v>
      </c>
      <c r="K89" s="1">
        <v>100</v>
      </c>
      <c r="L89" s="1">
        <v>2</v>
      </c>
      <c r="M89" s="1">
        <v>0</v>
      </c>
      <c r="N89" s="1">
        <f t="shared" ref="N89:N96" si="10">E89/10*3+2</f>
        <v>23</v>
      </c>
      <c r="O89" s="1">
        <v>5</v>
      </c>
      <c r="P89" s="12" t="s">
        <v>47</v>
      </c>
      <c r="Q89" s="12" t="s">
        <v>71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256</v>
      </c>
      <c r="G90" s="1">
        <v>2</v>
      </c>
      <c r="H90" s="1">
        <v>2</v>
      </c>
      <c r="I90" s="12" t="s">
        <v>29</v>
      </c>
      <c r="J90" s="12" t="s">
        <v>162</v>
      </c>
      <c r="K90" s="1">
        <v>100</v>
      </c>
      <c r="L90" s="1">
        <v>2</v>
      </c>
      <c r="M90" s="1">
        <v>0</v>
      </c>
      <c r="N90" s="1">
        <f t="shared" si="10"/>
        <v>23</v>
      </c>
      <c r="O90" s="1">
        <v>5</v>
      </c>
      <c r="P90" s="12" t="s">
        <v>49</v>
      </c>
      <c r="Q90" s="12" t="s">
        <v>246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257</v>
      </c>
      <c r="G91" s="1">
        <v>3</v>
      </c>
      <c r="H91" s="1">
        <v>3</v>
      </c>
      <c r="I91" s="12" t="s">
        <v>46</v>
      </c>
      <c r="J91" s="12" t="s">
        <v>162</v>
      </c>
      <c r="K91" s="1">
        <v>100</v>
      </c>
      <c r="L91" s="1">
        <v>2</v>
      </c>
      <c r="M91" s="1">
        <v>0</v>
      </c>
      <c r="N91" s="1">
        <f t="shared" si="10"/>
        <v>23</v>
      </c>
      <c r="O91" s="1">
        <v>5</v>
      </c>
      <c r="P91" s="12" t="s">
        <v>47</v>
      </c>
      <c r="Q91" s="12" t="s">
        <v>75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258</v>
      </c>
      <c r="G92" s="1">
        <v>4</v>
      </c>
      <c r="H92" s="1">
        <v>4</v>
      </c>
      <c r="I92" s="12" t="s">
        <v>35</v>
      </c>
      <c r="J92" s="12" t="s">
        <v>165</v>
      </c>
      <c r="K92" s="1">
        <v>100</v>
      </c>
      <c r="L92" s="1">
        <v>2</v>
      </c>
      <c r="M92" s="1">
        <v>0</v>
      </c>
      <c r="N92" s="1">
        <f t="shared" si="10"/>
        <v>23</v>
      </c>
      <c r="O92" s="1">
        <v>5</v>
      </c>
      <c r="P92" s="12" t="s">
        <v>52</v>
      </c>
      <c r="Q92" s="12" t="s">
        <v>249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259</v>
      </c>
      <c r="G93" s="1">
        <v>5</v>
      </c>
      <c r="H93" s="12" t="s">
        <v>40</v>
      </c>
      <c r="I93" s="12" t="s">
        <v>35</v>
      </c>
      <c r="J93" s="12" t="s">
        <v>165</v>
      </c>
      <c r="K93" s="1">
        <v>100</v>
      </c>
      <c r="L93" s="1">
        <v>2</v>
      </c>
      <c r="M93" s="1">
        <v>0</v>
      </c>
      <c r="N93" s="1">
        <f t="shared" si="10"/>
        <v>23</v>
      </c>
      <c r="O93" s="1">
        <v>5</v>
      </c>
      <c r="P93" s="12" t="s">
        <v>49</v>
      </c>
      <c r="Q93" s="12" t="s">
        <v>251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260</v>
      </c>
      <c r="G94" s="1">
        <v>7</v>
      </c>
      <c r="H94" s="12" t="s">
        <v>42</v>
      </c>
      <c r="I94" s="12" t="s">
        <v>46</v>
      </c>
      <c r="J94" s="12" t="s">
        <v>162</v>
      </c>
      <c r="K94" s="1">
        <v>100</v>
      </c>
      <c r="L94" s="1">
        <v>2</v>
      </c>
      <c r="M94" s="1">
        <v>0</v>
      </c>
      <c r="N94" s="1">
        <f t="shared" si="10"/>
        <v>23</v>
      </c>
      <c r="O94" s="1">
        <v>5</v>
      </c>
      <c r="P94" s="12" t="s">
        <v>47</v>
      </c>
      <c r="Q94" s="12" t="s">
        <v>75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261</v>
      </c>
      <c r="G95" s="1">
        <v>9</v>
      </c>
      <c r="H95" s="1">
        <v>9</v>
      </c>
      <c r="I95" s="12" t="s">
        <v>29</v>
      </c>
      <c r="J95" s="12" t="s">
        <v>52</v>
      </c>
      <c r="K95" s="1">
        <v>100</v>
      </c>
      <c r="L95" s="1">
        <v>2</v>
      </c>
      <c r="M95" s="1">
        <v>0</v>
      </c>
      <c r="N95" s="1">
        <f t="shared" si="10"/>
        <v>23</v>
      </c>
      <c r="O95" s="1">
        <v>5</v>
      </c>
      <c r="P95" s="12" t="s">
        <v>52</v>
      </c>
      <c r="Q95" s="12" t="s">
        <v>249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262</v>
      </c>
      <c r="G96" s="1">
        <v>10</v>
      </c>
      <c r="H96" s="1">
        <v>10</v>
      </c>
      <c r="I96" s="12" t="s">
        <v>46</v>
      </c>
      <c r="J96" s="12" t="s">
        <v>162</v>
      </c>
      <c r="K96" s="1">
        <v>100</v>
      </c>
      <c r="L96" s="1">
        <v>2</v>
      </c>
      <c r="M96" s="1">
        <v>0</v>
      </c>
      <c r="N96" s="1">
        <f t="shared" si="10"/>
        <v>23</v>
      </c>
      <c r="O96" s="1">
        <v>5</v>
      </c>
      <c r="P96" s="12" t="s">
        <v>52</v>
      </c>
      <c r="Q96" s="12" t="s">
        <v>249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263</v>
      </c>
      <c r="G97" s="1">
        <v>1</v>
      </c>
      <c r="H97" s="1">
        <v>1</v>
      </c>
      <c r="I97" s="12" t="s">
        <v>58</v>
      </c>
      <c r="J97" s="12" t="s">
        <v>160</v>
      </c>
      <c r="K97" s="1">
        <v>100</v>
      </c>
      <c r="L97" s="1">
        <v>3</v>
      </c>
      <c r="M97" s="1">
        <v>0</v>
      </c>
      <c r="N97" s="1">
        <f t="shared" ref="N97:N104" si="11">E97/10*3+3</f>
        <v>24</v>
      </c>
      <c r="O97" s="1">
        <v>5</v>
      </c>
      <c r="P97" s="12" t="s">
        <v>59</v>
      </c>
      <c r="Q97" s="12" t="s">
        <v>71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264</v>
      </c>
      <c r="G98" s="1">
        <v>2</v>
      </c>
      <c r="H98" s="1">
        <v>2</v>
      </c>
      <c r="I98" s="12" t="s">
        <v>29</v>
      </c>
      <c r="J98" s="12" t="s">
        <v>162</v>
      </c>
      <c r="K98" s="1">
        <v>100</v>
      </c>
      <c r="L98" s="1">
        <v>3</v>
      </c>
      <c r="M98" s="1">
        <v>0</v>
      </c>
      <c r="N98" s="1">
        <f t="shared" si="11"/>
        <v>24</v>
      </c>
      <c r="O98" s="1">
        <v>5</v>
      </c>
      <c r="P98" s="12" t="s">
        <v>61</v>
      </c>
      <c r="Q98" s="12" t="s">
        <v>246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265</v>
      </c>
      <c r="G99" s="1">
        <v>3</v>
      </c>
      <c r="H99" s="1">
        <v>3</v>
      </c>
      <c r="I99" s="12" t="s">
        <v>58</v>
      </c>
      <c r="J99" s="12" t="s">
        <v>162</v>
      </c>
      <c r="K99" s="1">
        <v>100</v>
      </c>
      <c r="L99" s="1">
        <v>3</v>
      </c>
      <c r="M99" s="1">
        <v>0</v>
      </c>
      <c r="N99" s="1">
        <f t="shared" si="11"/>
        <v>24</v>
      </c>
      <c r="O99" s="1">
        <v>5</v>
      </c>
      <c r="P99" s="12" t="s">
        <v>59</v>
      </c>
      <c r="Q99" s="12" t="s">
        <v>75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266</v>
      </c>
      <c r="G100" s="1">
        <v>4</v>
      </c>
      <c r="H100" s="1">
        <v>4</v>
      </c>
      <c r="I100" s="12" t="s">
        <v>35</v>
      </c>
      <c r="J100" s="12" t="s">
        <v>165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12" t="s">
        <v>64</v>
      </c>
      <c r="Q100" s="12" t="s">
        <v>249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267</v>
      </c>
      <c r="G101" s="1">
        <v>5</v>
      </c>
      <c r="H101" s="12" t="s">
        <v>40</v>
      </c>
      <c r="I101" s="12" t="s">
        <v>35</v>
      </c>
      <c r="J101" s="12" t="s">
        <v>165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12" t="s">
        <v>61</v>
      </c>
      <c r="Q101" s="12" t="s">
        <v>251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268</v>
      </c>
      <c r="G102" s="1">
        <v>7</v>
      </c>
      <c r="H102" s="12" t="s">
        <v>42</v>
      </c>
      <c r="I102" s="12" t="s">
        <v>58</v>
      </c>
      <c r="J102" s="12" t="s">
        <v>162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12" t="s">
        <v>59</v>
      </c>
      <c r="Q102" s="12" t="s">
        <v>75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269</v>
      </c>
      <c r="G103" s="1">
        <v>9</v>
      </c>
      <c r="H103" s="1">
        <v>9</v>
      </c>
      <c r="I103" s="12" t="s">
        <v>29</v>
      </c>
      <c r="J103" s="12" t="s">
        <v>52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12" t="s">
        <v>64</v>
      </c>
      <c r="Q103" s="12" t="s">
        <v>249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270</v>
      </c>
      <c r="G104" s="1">
        <v>10</v>
      </c>
      <c r="H104" s="1">
        <v>10</v>
      </c>
      <c r="I104" s="12" t="s">
        <v>58</v>
      </c>
      <c r="J104" s="12" t="s">
        <v>162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12" t="s">
        <v>64</v>
      </c>
      <c r="Q104" s="12" t="s">
        <v>249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N3" sqref="$A1:$XFD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5" width="13" style="1" customWidth="1"/>
    <col min="16" max="16" width="14.1666666666667" style="1" customWidth="1"/>
    <col min="17" max="16382" width="13" style="1" customWidth="1"/>
    <col min="16383" max="16384" width="13" style="1"/>
  </cols>
  <sheetData>
    <row r="3" s="1" customFormat="1" customHeight="1" spans="1:17">
      <c r="A3" s="8"/>
      <c r="C3" s="9" t="s">
        <v>0</v>
      </c>
      <c r="D3" s="9" t="s">
        <v>1</v>
      </c>
      <c r="E3" s="9" t="s">
        <v>2</v>
      </c>
      <c r="F3" s="9" t="s">
        <v>3</v>
      </c>
      <c r="G3" s="9" t="s">
        <v>4</v>
      </c>
      <c r="H3" s="9" t="s">
        <v>5</v>
      </c>
      <c r="I3" s="10" t="s">
        <v>6</v>
      </c>
      <c r="J3" s="11" t="s">
        <v>7</v>
      </c>
      <c r="K3" s="9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</row>
    <row r="4" s="1" customFormat="1" customHeight="1" spans="1:17">
      <c r="A4" s="8"/>
      <c r="C4" s="9" t="s">
        <v>15</v>
      </c>
      <c r="D4" s="9" t="s">
        <v>1</v>
      </c>
      <c r="E4" s="9" t="s">
        <v>2</v>
      </c>
      <c r="F4" s="9" t="s">
        <v>3</v>
      </c>
      <c r="G4" s="9" t="s">
        <v>4</v>
      </c>
      <c r="H4" s="9" t="s">
        <v>5</v>
      </c>
      <c r="I4" s="10" t="s">
        <v>16</v>
      </c>
      <c r="J4" s="11" t="s">
        <v>17</v>
      </c>
      <c r="K4" s="9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</row>
    <row r="5" s="1" customFormat="1" customHeight="1" spans="1:17">
      <c r="A5" s="8"/>
      <c r="C5" s="9" t="s">
        <v>18</v>
      </c>
      <c r="D5" s="9" t="s">
        <v>18</v>
      </c>
      <c r="E5" s="9" t="s">
        <v>18</v>
      </c>
      <c r="F5" s="9" t="s">
        <v>19</v>
      </c>
      <c r="G5" s="9" t="s">
        <v>18</v>
      </c>
      <c r="H5" s="9" t="s">
        <v>20</v>
      </c>
      <c r="I5" s="10" t="s">
        <v>20</v>
      </c>
      <c r="J5" s="11" t="s">
        <v>21</v>
      </c>
      <c r="K5" s="9" t="s">
        <v>22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20</v>
      </c>
      <c r="Q5" s="9" t="s">
        <v>20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271</v>
      </c>
      <c r="G6" s="1">
        <v>1</v>
      </c>
      <c r="H6" s="1">
        <v>1</v>
      </c>
      <c r="I6" s="12" t="s">
        <v>24</v>
      </c>
      <c r="J6" s="12" t="s">
        <v>160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2" t="s">
        <v>26</v>
      </c>
      <c r="Q6" s="12" t="s">
        <v>27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272</v>
      </c>
      <c r="G7" s="1">
        <v>2</v>
      </c>
      <c r="H7" s="1">
        <v>2</v>
      </c>
      <c r="I7" s="12" t="s">
        <v>29</v>
      </c>
      <c r="J7" s="12" t="s">
        <v>162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2" t="s">
        <v>30</v>
      </c>
      <c r="Q7" s="12" t="s">
        <v>160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273</v>
      </c>
      <c r="G8" s="1">
        <v>3</v>
      </c>
      <c r="H8" s="1">
        <v>3</v>
      </c>
      <c r="I8" s="12" t="s">
        <v>24</v>
      </c>
      <c r="J8" s="12" t="s">
        <v>162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2" t="s">
        <v>26</v>
      </c>
      <c r="Q8" s="12" t="s">
        <v>33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274</v>
      </c>
      <c r="G9" s="1">
        <v>4</v>
      </c>
      <c r="H9" s="1">
        <v>4</v>
      </c>
      <c r="I9" s="12" t="s">
        <v>35</v>
      </c>
      <c r="J9" s="12" t="s">
        <v>165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2" t="s">
        <v>37</v>
      </c>
      <c r="Q9" s="12" t="s">
        <v>166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275</v>
      </c>
      <c r="G10" s="1">
        <v>5</v>
      </c>
      <c r="H10" s="12" t="s">
        <v>40</v>
      </c>
      <c r="I10" s="12" t="s">
        <v>35</v>
      </c>
      <c r="J10" s="12" t="s">
        <v>165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2" t="s">
        <v>30</v>
      </c>
      <c r="Q10" s="12" t="s">
        <v>168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276</v>
      </c>
      <c r="G11" s="1">
        <v>7</v>
      </c>
      <c r="H11" s="12" t="s">
        <v>42</v>
      </c>
      <c r="I11" s="12" t="s">
        <v>24</v>
      </c>
      <c r="J11" s="12" t="s">
        <v>162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2" t="s">
        <v>26</v>
      </c>
      <c r="Q11" s="12" t="s">
        <v>33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277</v>
      </c>
      <c r="G12" s="1">
        <v>9</v>
      </c>
      <c r="H12" s="1">
        <v>9</v>
      </c>
      <c r="I12" s="12" t="s">
        <v>29</v>
      </c>
      <c r="J12" s="12" t="s">
        <v>52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2" t="s">
        <v>37</v>
      </c>
      <c r="Q12" s="12" t="s">
        <v>166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278</v>
      </c>
      <c r="G13" s="1">
        <v>10</v>
      </c>
      <c r="H13" s="1">
        <v>10</v>
      </c>
      <c r="I13" s="12" t="s">
        <v>24</v>
      </c>
      <c r="J13" s="12" t="s">
        <v>162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2" t="s">
        <v>37</v>
      </c>
      <c r="Q13" s="12" t="s">
        <v>166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279</v>
      </c>
      <c r="G14" s="1">
        <v>1</v>
      </c>
      <c r="H14" s="1">
        <v>1</v>
      </c>
      <c r="I14" s="12" t="s">
        <v>46</v>
      </c>
      <c r="J14" s="12" t="s">
        <v>160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12" t="s">
        <v>47</v>
      </c>
      <c r="Q14" s="12" t="s">
        <v>27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280</v>
      </c>
      <c r="G15" s="1">
        <v>2</v>
      </c>
      <c r="H15" s="1">
        <v>2</v>
      </c>
      <c r="I15" s="12" t="s">
        <v>29</v>
      </c>
      <c r="J15" s="12" t="s">
        <v>162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12" t="s">
        <v>49</v>
      </c>
      <c r="Q15" s="12" t="s">
        <v>160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281</v>
      </c>
      <c r="G16" s="1">
        <v>3</v>
      </c>
      <c r="H16" s="1">
        <v>3</v>
      </c>
      <c r="I16" s="12" t="s">
        <v>46</v>
      </c>
      <c r="J16" s="12" t="s">
        <v>162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12" t="s">
        <v>47</v>
      </c>
      <c r="Q16" s="12" t="s">
        <v>33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282</v>
      </c>
      <c r="G17" s="1">
        <v>4</v>
      </c>
      <c r="H17" s="1">
        <v>4</v>
      </c>
      <c r="I17" s="12" t="s">
        <v>35</v>
      </c>
      <c r="J17" s="12" t="s">
        <v>165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12" t="s">
        <v>52</v>
      </c>
      <c r="Q17" s="12" t="s">
        <v>166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283</v>
      </c>
      <c r="G18" s="1">
        <v>5</v>
      </c>
      <c r="H18" s="12" t="s">
        <v>40</v>
      </c>
      <c r="I18" s="12" t="s">
        <v>35</v>
      </c>
      <c r="J18" s="12" t="s">
        <v>165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12" t="s">
        <v>49</v>
      </c>
      <c r="Q18" s="12" t="s">
        <v>168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284</v>
      </c>
      <c r="G19" s="1">
        <v>7</v>
      </c>
      <c r="H19" s="12" t="s">
        <v>42</v>
      </c>
      <c r="I19" s="12" t="s">
        <v>46</v>
      </c>
      <c r="J19" s="12" t="s">
        <v>162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12" t="s">
        <v>47</v>
      </c>
      <c r="Q19" s="12" t="s">
        <v>33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285</v>
      </c>
      <c r="G20" s="1">
        <v>9</v>
      </c>
      <c r="H20" s="1">
        <v>9</v>
      </c>
      <c r="I20" s="12" t="s">
        <v>29</v>
      </c>
      <c r="J20" s="12" t="s">
        <v>52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12" t="s">
        <v>52</v>
      </c>
      <c r="Q20" s="12" t="s">
        <v>166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286</v>
      </c>
      <c r="G21" s="1">
        <v>10</v>
      </c>
      <c r="H21" s="1">
        <v>10</v>
      </c>
      <c r="I21" s="12" t="s">
        <v>46</v>
      </c>
      <c r="J21" s="12" t="s">
        <v>162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12" t="s">
        <v>52</v>
      </c>
      <c r="Q21" s="12" t="s">
        <v>166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287</v>
      </c>
      <c r="G22" s="1">
        <v>1</v>
      </c>
      <c r="H22" s="1">
        <v>1</v>
      </c>
      <c r="I22" s="12" t="s">
        <v>58</v>
      </c>
      <c r="J22" s="12" t="s">
        <v>160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12" t="s">
        <v>59</v>
      </c>
      <c r="Q22" s="12" t="s">
        <v>27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288</v>
      </c>
      <c r="G23" s="1">
        <v>2</v>
      </c>
      <c r="H23" s="1">
        <v>2</v>
      </c>
      <c r="I23" s="12" t="s">
        <v>29</v>
      </c>
      <c r="J23" s="12" t="s">
        <v>162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12" t="s">
        <v>61</v>
      </c>
      <c r="Q23" s="12" t="s">
        <v>160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289</v>
      </c>
      <c r="G24" s="1">
        <v>3</v>
      </c>
      <c r="H24" s="1">
        <v>3</v>
      </c>
      <c r="I24" s="12" t="s">
        <v>58</v>
      </c>
      <c r="J24" s="12" t="s">
        <v>162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12" t="s">
        <v>59</v>
      </c>
      <c r="Q24" s="12" t="s">
        <v>33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290</v>
      </c>
      <c r="G25" s="1">
        <v>4</v>
      </c>
      <c r="H25" s="1">
        <v>4</v>
      </c>
      <c r="I25" s="12" t="s">
        <v>35</v>
      </c>
      <c r="J25" s="12" t="s">
        <v>165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12" t="s">
        <v>64</v>
      </c>
      <c r="Q25" s="12" t="s">
        <v>166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291</v>
      </c>
      <c r="G26" s="1">
        <v>5</v>
      </c>
      <c r="H26" s="12" t="s">
        <v>40</v>
      </c>
      <c r="I26" s="12" t="s">
        <v>35</v>
      </c>
      <c r="J26" s="12" t="s">
        <v>165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12" t="s">
        <v>61</v>
      </c>
      <c r="Q26" s="12" t="s">
        <v>168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292</v>
      </c>
      <c r="G27" s="1">
        <v>7</v>
      </c>
      <c r="H27" s="12" t="s">
        <v>42</v>
      </c>
      <c r="I27" s="12" t="s">
        <v>58</v>
      </c>
      <c r="J27" s="12" t="s">
        <v>162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12" t="s">
        <v>59</v>
      </c>
      <c r="Q27" s="12" t="s">
        <v>33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293</v>
      </c>
      <c r="G28" s="1">
        <v>9</v>
      </c>
      <c r="H28" s="1">
        <v>9</v>
      </c>
      <c r="I28" s="12" t="s">
        <v>29</v>
      </c>
      <c r="J28" s="12" t="s">
        <v>52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12" t="s">
        <v>64</v>
      </c>
      <c r="Q28" s="12" t="s">
        <v>166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294</v>
      </c>
      <c r="G29" s="1">
        <v>10</v>
      </c>
      <c r="H29" s="1">
        <v>10</v>
      </c>
      <c r="I29" s="12" t="s">
        <v>58</v>
      </c>
      <c r="J29" s="12" t="s">
        <v>162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12" t="s">
        <v>64</v>
      </c>
      <c r="Q29" s="12" t="s">
        <v>166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295</v>
      </c>
      <c r="G31" s="1">
        <v>1</v>
      </c>
      <c r="H31" s="1">
        <v>1</v>
      </c>
      <c r="I31" s="12" t="s">
        <v>24</v>
      </c>
      <c r="J31" s="12" t="s">
        <v>160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12" t="s">
        <v>26</v>
      </c>
      <c r="Q31" s="12" t="s">
        <v>75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296</v>
      </c>
      <c r="G32" s="1">
        <v>2</v>
      </c>
      <c r="H32" s="1">
        <v>2</v>
      </c>
      <c r="I32" s="12" t="s">
        <v>29</v>
      </c>
      <c r="J32" s="12" t="s">
        <v>162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12" t="s">
        <v>30</v>
      </c>
      <c r="Q32" s="12" t="s">
        <v>75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297</v>
      </c>
      <c r="G33" s="1">
        <v>3</v>
      </c>
      <c r="H33" s="1">
        <v>3</v>
      </c>
      <c r="I33" s="12" t="s">
        <v>24</v>
      </c>
      <c r="J33" s="12" t="s">
        <v>162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12" t="s">
        <v>26</v>
      </c>
      <c r="Q33" s="12" t="s">
        <v>191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298</v>
      </c>
      <c r="G34" s="1">
        <v>4</v>
      </c>
      <c r="H34" s="1">
        <v>4</v>
      </c>
      <c r="I34" s="12" t="s">
        <v>35</v>
      </c>
      <c r="J34" s="12" t="s">
        <v>165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12" t="s">
        <v>37</v>
      </c>
      <c r="Q34" s="12" t="s">
        <v>193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299</v>
      </c>
      <c r="G35" s="1">
        <v>5</v>
      </c>
      <c r="H35" s="12" t="s">
        <v>40</v>
      </c>
      <c r="I35" s="12" t="s">
        <v>35</v>
      </c>
      <c r="J35" s="12" t="s">
        <v>165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12" t="s">
        <v>30</v>
      </c>
      <c r="Q35" s="12" t="s">
        <v>195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300</v>
      </c>
      <c r="G36" s="1">
        <v>7</v>
      </c>
      <c r="H36" s="12" t="s">
        <v>42</v>
      </c>
      <c r="I36" s="12" t="s">
        <v>24</v>
      </c>
      <c r="J36" s="12" t="s">
        <v>162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12" t="s">
        <v>26</v>
      </c>
      <c r="Q36" s="12" t="s">
        <v>191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301</v>
      </c>
      <c r="G37" s="1">
        <v>9</v>
      </c>
      <c r="H37" s="1">
        <v>9</v>
      </c>
      <c r="I37" s="12" t="s">
        <v>29</v>
      </c>
      <c r="J37" s="12" t="s">
        <v>52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12" t="s">
        <v>37</v>
      </c>
      <c r="Q37" s="12" t="s">
        <v>193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302</v>
      </c>
      <c r="G38" s="1">
        <v>10</v>
      </c>
      <c r="H38" s="1">
        <v>10</v>
      </c>
      <c r="I38" s="12" t="s">
        <v>24</v>
      </c>
      <c r="J38" s="12" t="s">
        <v>162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12" t="s">
        <v>37</v>
      </c>
      <c r="Q38" s="12" t="s">
        <v>193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303</v>
      </c>
      <c r="G39" s="1">
        <v>1</v>
      </c>
      <c r="H39" s="1">
        <v>1</v>
      </c>
      <c r="I39" s="12" t="s">
        <v>46</v>
      </c>
      <c r="J39" s="12" t="s">
        <v>160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12" t="s">
        <v>47</v>
      </c>
      <c r="Q39" s="12" t="s">
        <v>75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304</v>
      </c>
      <c r="G40" s="1">
        <v>2</v>
      </c>
      <c r="H40" s="1">
        <v>2</v>
      </c>
      <c r="I40" s="12" t="s">
        <v>29</v>
      </c>
      <c r="J40" s="12" t="s">
        <v>162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12" t="s">
        <v>49</v>
      </c>
      <c r="Q40" s="12" t="s">
        <v>75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305</v>
      </c>
      <c r="G41" s="1">
        <v>3</v>
      </c>
      <c r="H41" s="1">
        <v>3</v>
      </c>
      <c r="I41" s="12" t="s">
        <v>46</v>
      </c>
      <c r="J41" s="12" t="s">
        <v>162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12" t="s">
        <v>47</v>
      </c>
      <c r="Q41" s="12" t="s">
        <v>191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306</v>
      </c>
      <c r="G42" s="1">
        <v>4</v>
      </c>
      <c r="H42" s="1">
        <v>4</v>
      </c>
      <c r="I42" s="12" t="s">
        <v>35</v>
      </c>
      <c r="J42" s="12" t="s">
        <v>165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12" t="s">
        <v>52</v>
      </c>
      <c r="Q42" s="12" t="s">
        <v>193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307</v>
      </c>
      <c r="G43" s="1">
        <v>5</v>
      </c>
      <c r="H43" s="12" t="s">
        <v>40</v>
      </c>
      <c r="I43" s="12" t="s">
        <v>35</v>
      </c>
      <c r="J43" s="12" t="s">
        <v>165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12" t="s">
        <v>49</v>
      </c>
      <c r="Q43" s="12" t="s">
        <v>195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308</v>
      </c>
      <c r="G44" s="1">
        <v>7</v>
      </c>
      <c r="H44" s="12" t="s">
        <v>42</v>
      </c>
      <c r="I44" s="12" t="s">
        <v>46</v>
      </c>
      <c r="J44" s="12" t="s">
        <v>162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12" t="s">
        <v>47</v>
      </c>
      <c r="Q44" s="12" t="s">
        <v>191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309</v>
      </c>
      <c r="G45" s="1">
        <v>9</v>
      </c>
      <c r="H45" s="1">
        <v>9</v>
      </c>
      <c r="I45" s="12" t="s">
        <v>29</v>
      </c>
      <c r="J45" s="12" t="s">
        <v>52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12" t="s">
        <v>52</v>
      </c>
      <c r="Q45" s="12" t="s">
        <v>193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310</v>
      </c>
      <c r="G46" s="1">
        <v>10</v>
      </c>
      <c r="H46" s="1">
        <v>10</v>
      </c>
      <c r="I46" s="12" t="s">
        <v>46</v>
      </c>
      <c r="J46" s="12" t="s">
        <v>162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12" t="s">
        <v>52</v>
      </c>
      <c r="Q46" s="12" t="s">
        <v>193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311</v>
      </c>
      <c r="G47" s="1">
        <v>1</v>
      </c>
      <c r="H47" s="1">
        <v>1</v>
      </c>
      <c r="I47" s="12" t="s">
        <v>58</v>
      </c>
      <c r="J47" s="12" t="s">
        <v>160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12" t="s">
        <v>59</v>
      </c>
      <c r="Q47" s="12" t="s">
        <v>75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312</v>
      </c>
      <c r="G48" s="1">
        <v>2</v>
      </c>
      <c r="H48" s="1">
        <v>2</v>
      </c>
      <c r="I48" s="12" t="s">
        <v>29</v>
      </c>
      <c r="J48" s="12" t="s">
        <v>162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12" t="s">
        <v>61</v>
      </c>
      <c r="Q48" s="12" t="s">
        <v>75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313</v>
      </c>
      <c r="G49" s="1">
        <v>3</v>
      </c>
      <c r="H49" s="1">
        <v>3</v>
      </c>
      <c r="I49" s="12" t="s">
        <v>58</v>
      </c>
      <c r="J49" s="12" t="s">
        <v>162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12" t="s">
        <v>59</v>
      </c>
      <c r="Q49" s="12" t="s">
        <v>191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314</v>
      </c>
      <c r="G50" s="1">
        <v>4</v>
      </c>
      <c r="H50" s="1">
        <v>4</v>
      </c>
      <c r="I50" s="12" t="s">
        <v>35</v>
      </c>
      <c r="J50" s="12" t="s">
        <v>165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12" t="s">
        <v>64</v>
      </c>
      <c r="Q50" s="12" t="s">
        <v>193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315</v>
      </c>
      <c r="G51" s="1">
        <v>5</v>
      </c>
      <c r="H51" s="12" t="s">
        <v>40</v>
      </c>
      <c r="I51" s="12" t="s">
        <v>35</v>
      </c>
      <c r="J51" s="12" t="s">
        <v>165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12" t="s">
        <v>61</v>
      </c>
      <c r="Q51" s="12" t="s">
        <v>195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316</v>
      </c>
      <c r="G52" s="1">
        <v>7</v>
      </c>
      <c r="H52" s="12" t="s">
        <v>42</v>
      </c>
      <c r="I52" s="12" t="s">
        <v>58</v>
      </c>
      <c r="J52" s="12" t="s">
        <v>162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12" t="s">
        <v>59</v>
      </c>
      <c r="Q52" s="12" t="s">
        <v>191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317</v>
      </c>
      <c r="G53" s="1">
        <v>9</v>
      </c>
      <c r="H53" s="1">
        <v>9</v>
      </c>
      <c r="I53" s="12" t="s">
        <v>29</v>
      </c>
      <c r="J53" s="12" t="s">
        <v>52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12" t="s">
        <v>64</v>
      </c>
      <c r="Q53" s="12" t="s">
        <v>193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318</v>
      </c>
      <c r="G54" s="1">
        <v>10</v>
      </c>
      <c r="H54" s="1">
        <v>10</v>
      </c>
      <c r="I54" s="12" t="s">
        <v>58</v>
      </c>
      <c r="J54" s="12" t="s">
        <v>162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12" t="s">
        <v>64</v>
      </c>
      <c r="Q54" s="12" t="s">
        <v>193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319</v>
      </c>
      <c r="G56" s="1">
        <v>1</v>
      </c>
      <c r="H56" s="1">
        <v>1</v>
      </c>
      <c r="I56" s="12" t="s">
        <v>24</v>
      </c>
      <c r="J56" s="12" t="s">
        <v>160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12" t="s">
        <v>26</v>
      </c>
      <c r="Q56" s="12" t="s">
        <v>216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320</v>
      </c>
      <c r="G57" s="1">
        <v>2</v>
      </c>
      <c r="H57" s="1">
        <v>2</v>
      </c>
      <c r="I57" s="12" t="s">
        <v>29</v>
      </c>
      <c r="J57" s="12" t="s">
        <v>162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12" t="s">
        <v>30</v>
      </c>
      <c r="Q57" s="12" t="s">
        <v>218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321</v>
      </c>
      <c r="G58" s="1">
        <v>3</v>
      </c>
      <c r="H58" s="1">
        <v>3</v>
      </c>
      <c r="I58" s="12" t="s">
        <v>24</v>
      </c>
      <c r="J58" s="12" t="s">
        <v>162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12" t="s">
        <v>26</v>
      </c>
      <c r="Q58" s="12" t="s">
        <v>220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322</v>
      </c>
      <c r="G59" s="1">
        <v>4</v>
      </c>
      <c r="H59" s="1">
        <v>4</v>
      </c>
      <c r="I59" s="12" t="s">
        <v>35</v>
      </c>
      <c r="J59" s="12" t="s">
        <v>165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12" t="s">
        <v>37</v>
      </c>
      <c r="Q59" s="12" t="s">
        <v>222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323</v>
      </c>
      <c r="G60" s="1">
        <v>5</v>
      </c>
      <c r="H60" s="12" t="s">
        <v>40</v>
      </c>
      <c r="I60" s="12" t="s">
        <v>35</v>
      </c>
      <c r="J60" s="12" t="s">
        <v>165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12" t="s">
        <v>30</v>
      </c>
      <c r="Q60" s="12" t="s">
        <v>224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324</v>
      </c>
      <c r="G61" s="1">
        <v>7</v>
      </c>
      <c r="H61" s="12" t="s">
        <v>42</v>
      </c>
      <c r="I61" s="12" t="s">
        <v>24</v>
      </c>
      <c r="J61" s="12" t="s">
        <v>162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12" t="s">
        <v>26</v>
      </c>
      <c r="Q61" s="12" t="s">
        <v>220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325</v>
      </c>
      <c r="G62" s="1">
        <v>9</v>
      </c>
      <c r="H62" s="1">
        <v>9</v>
      </c>
      <c r="I62" s="12" t="s">
        <v>29</v>
      </c>
      <c r="J62" s="12" t="s">
        <v>52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12" t="s">
        <v>37</v>
      </c>
      <c r="Q62" s="12" t="s">
        <v>222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326</v>
      </c>
      <c r="G63" s="1">
        <v>10</v>
      </c>
      <c r="H63" s="1">
        <v>10</v>
      </c>
      <c r="I63" s="12" t="s">
        <v>24</v>
      </c>
      <c r="J63" s="12" t="s">
        <v>162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12" t="s">
        <v>37</v>
      </c>
      <c r="Q63" s="12" t="s">
        <v>222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327</v>
      </c>
      <c r="G64" s="1">
        <v>1</v>
      </c>
      <c r="H64" s="1">
        <v>1</v>
      </c>
      <c r="I64" s="12" t="s">
        <v>46</v>
      </c>
      <c r="J64" s="12" t="s">
        <v>160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12" t="s">
        <v>47</v>
      </c>
      <c r="Q64" s="12" t="s">
        <v>216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328</v>
      </c>
      <c r="G65" s="1">
        <v>2</v>
      </c>
      <c r="H65" s="1">
        <v>2</v>
      </c>
      <c r="I65" s="12" t="s">
        <v>29</v>
      </c>
      <c r="J65" s="12" t="s">
        <v>162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12" t="s">
        <v>49</v>
      </c>
      <c r="Q65" s="12" t="s">
        <v>218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329</v>
      </c>
      <c r="G66" s="1">
        <v>3</v>
      </c>
      <c r="H66" s="1">
        <v>3</v>
      </c>
      <c r="I66" s="12" t="s">
        <v>46</v>
      </c>
      <c r="J66" s="12" t="s">
        <v>162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12" t="s">
        <v>47</v>
      </c>
      <c r="Q66" s="12" t="s">
        <v>220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330</v>
      </c>
      <c r="G67" s="1">
        <v>4</v>
      </c>
      <c r="H67" s="1">
        <v>4</v>
      </c>
      <c r="I67" s="12" t="s">
        <v>35</v>
      </c>
      <c r="J67" s="12" t="s">
        <v>165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12" t="s">
        <v>52</v>
      </c>
      <c r="Q67" s="12" t="s">
        <v>222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331</v>
      </c>
      <c r="G68" s="1">
        <v>5</v>
      </c>
      <c r="H68" s="12" t="s">
        <v>40</v>
      </c>
      <c r="I68" s="12" t="s">
        <v>35</v>
      </c>
      <c r="J68" s="12" t="s">
        <v>165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12" t="s">
        <v>49</v>
      </c>
      <c r="Q68" s="12" t="s">
        <v>224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332</v>
      </c>
      <c r="G69" s="1">
        <v>7</v>
      </c>
      <c r="H69" s="12" t="s">
        <v>42</v>
      </c>
      <c r="I69" s="12" t="s">
        <v>46</v>
      </c>
      <c r="J69" s="12" t="s">
        <v>162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12" t="s">
        <v>47</v>
      </c>
      <c r="Q69" s="12" t="s">
        <v>220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333</v>
      </c>
      <c r="G70" s="1">
        <v>9</v>
      </c>
      <c r="H70" s="1">
        <v>9</v>
      </c>
      <c r="I70" s="12" t="s">
        <v>29</v>
      </c>
      <c r="J70" s="12" t="s">
        <v>52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12" t="s">
        <v>52</v>
      </c>
      <c r="Q70" s="12" t="s">
        <v>222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334</v>
      </c>
      <c r="G71" s="1">
        <v>10</v>
      </c>
      <c r="H71" s="1">
        <v>10</v>
      </c>
      <c r="I71" s="12" t="s">
        <v>46</v>
      </c>
      <c r="J71" s="12" t="s">
        <v>162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12" t="s">
        <v>52</v>
      </c>
      <c r="Q71" s="12" t="s">
        <v>222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335</v>
      </c>
      <c r="G72" s="1">
        <v>1</v>
      </c>
      <c r="H72" s="1">
        <v>1</v>
      </c>
      <c r="I72" s="12" t="s">
        <v>58</v>
      </c>
      <c r="J72" s="12" t="s">
        <v>160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12" t="s">
        <v>59</v>
      </c>
      <c r="Q72" s="12" t="s">
        <v>216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336</v>
      </c>
      <c r="G73" s="1">
        <v>2</v>
      </c>
      <c r="H73" s="1">
        <v>2</v>
      </c>
      <c r="I73" s="12" t="s">
        <v>29</v>
      </c>
      <c r="J73" s="12" t="s">
        <v>162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12" t="s">
        <v>61</v>
      </c>
      <c r="Q73" s="12" t="s">
        <v>218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337</v>
      </c>
      <c r="G74" s="1">
        <v>3</v>
      </c>
      <c r="H74" s="1">
        <v>3</v>
      </c>
      <c r="I74" s="12" t="s">
        <v>58</v>
      </c>
      <c r="J74" s="12" t="s">
        <v>162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12" t="s">
        <v>59</v>
      </c>
      <c r="Q74" s="12" t="s">
        <v>220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338</v>
      </c>
      <c r="G75" s="1">
        <v>4</v>
      </c>
      <c r="H75" s="1">
        <v>4</v>
      </c>
      <c r="I75" s="12" t="s">
        <v>35</v>
      </c>
      <c r="J75" s="12" t="s">
        <v>165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12" t="s">
        <v>64</v>
      </c>
      <c r="Q75" s="12" t="s">
        <v>222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339</v>
      </c>
      <c r="G76" s="1">
        <v>5</v>
      </c>
      <c r="H76" s="12" t="s">
        <v>40</v>
      </c>
      <c r="I76" s="12" t="s">
        <v>35</v>
      </c>
      <c r="J76" s="12" t="s">
        <v>165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12" t="s">
        <v>61</v>
      </c>
      <c r="Q76" s="12" t="s">
        <v>224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340</v>
      </c>
      <c r="G77" s="1">
        <v>7</v>
      </c>
      <c r="H77" s="12" t="s">
        <v>42</v>
      </c>
      <c r="I77" s="12" t="s">
        <v>58</v>
      </c>
      <c r="J77" s="12" t="s">
        <v>162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12" t="s">
        <v>59</v>
      </c>
      <c r="Q77" s="12" t="s">
        <v>220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341</v>
      </c>
      <c r="G78" s="1">
        <v>9</v>
      </c>
      <c r="H78" s="1">
        <v>9</v>
      </c>
      <c r="I78" s="12" t="s">
        <v>29</v>
      </c>
      <c r="J78" s="12" t="s">
        <v>52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12" t="s">
        <v>64</v>
      </c>
      <c r="Q78" s="12" t="s">
        <v>222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342</v>
      </c>
      <c r="G79" s="1">
        <v>10</v>
      </c>
      <c r="H79" s="1">
        <v>10</v>
      </c>
      <c r="I79" s="12" t="s">
        <v>58</v>
      </c>
      <c r="J79" s="12" t="s">
        <v>162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12" t="s">
        <v>64</v>
      </c>
      <c r="Q79" s="12" t="s">
        <v>222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343</v>
      </c>
      <c r="G81" s="1">
        <v>1</v>
      </c>
      <c r="H81" s="1">
        <v>1</v>
      </c>
      <c r="I81" s="12" t="s">
        <v>24</v>
      </c>
      <c r="J81" s="12" t="s">
        <v>160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12" t="s">
        <v>26</v>
      </c>
      <c r="Q81" s="12" t="s">
        <v>71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344</v>
      </c>
      <c r="G82" s="1">
        <v>2</v>
      </c>
      <c r="H82" s="1">
        <v>2</v>
      </c>
      <c r="I82" s="12" t="s">
        <v>29</v>
      </c>
      <c r="J82" s="12" t="s">
        <v>162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12" t="s">
        <v>30</v>
      </c>
      <c r="Q82" s="12" t="s">
        <v>246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345</v>
      </c>
      <c r="G83" s="1">
        <v>3</v>
      </c>
      <c r="H83" s="1">
        <v>3</v>
      </c>
      <c r="I83" s="12" t="s">
        <v>24</v>
      </c>
      <c r="J83" s="12" t="s">
        <v>162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12" t="s">
        <v>26</v>
      </c>
      <c r="Q83" s="12" t="s">
        <v>75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346</v>
      </c>
      <c r="G84" s="1">
        <v>4</v>
      </c>
      <c r="H84" s="1">
        <v>4</v>
      </c>
      <c r="I84" s="12" t="s">
        <v>35</v>
      </c>
      <c r="J84" s="12" t="s">
        <v>165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12" t="s">
        <v>37</v>
      </c>
      <c r="Q84" s="12" t="s">
        <v>249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347</v>
      </c>
      <c r="G85" s="1">
        <v>5</v>
      </c>
      <c r="H85" s="12" t="s">
        <v>40</v>
      </c>
      <c r="I85" s="12" t="s">
        <v>35</v>
      </c>
      <c r="J85" s="12" t="s">
        <v>165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12" t="s">
        <v>30</v>
      </c>
      <c r="Q85" s="12" t="s">
        <v>251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348</v>
      </c>
      <c r="G86" s="1">
        <v>7</v>
      </c>
      <c r="H86" s="12" t="s">
        <v>42</v>
      </c>
      <c r="I86" s="12" t="s">
        <v>24</v>
      </c>
      <c r="J86" s="12" t="s">
        <v>162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12" t="s">
        <v>26</v>
      </c>
      <c r="Q86" s="12" t="s">
        <v>75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349</v>
      </c>
      <c r="G87" s="1">
        <v>9</v>
      </c>
      <c r="H87" s="1">
        <v>9</v>
      </c>
      <c r="I87" s="12" t="s">
        <v>29</v>
      </c>
      <c r="J87" s="12" t="s">
        <v>52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12" t="s">
        <v>37</v>
      </c>
      <c r="Q87" s="12" t="s">
        <v>249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350</v>
      </c>
      <c r="G88" s="1">
        <v>10</v>
      </c>
      <c r="H88" s="1">
        <v>10</v>
      </c>
      <c r="I88" s="12" t="s">
        <v>24</v>
      </c>
      <c r="J88" s="12" t="s">
        <v>162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12" t="s">
        <v>37</v>
      </c>
      <c r="Q88" s="12" t="s">
        <v>249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351</v>
      </c>
      <c r="G89" s="1">
        <v>1</v>
      </c>
      <c r="H89" s="1">
        <v>1</v>
      </c>
      <c r="I89" s="12" t="s">
        <v>46</v>
      </c>
      <c r="J89" s="12" t="s">
        <v>160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12" t="s">
        <v>47</v>
      </c>
      <c r="Q89" s="12" t="s">
        <v>71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352</v>
      </c>
      <c r="G90" s="1">
        <v>2</v>
      </c>
      <c r="H90" s="1">
        <v>2</v>
      </c>
      <c r="I90" s="12" t="s">
        <v>29</v>
      </c>
      <c r="J90" s="12" t="s">
        <v>162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12" t="s">
        <v>49</v>
      </c>
      <c r="Q90" s="12" t="s">
        <v>246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353</v>
      </c>
      <c r="G91" s="1">
        <v>3</v>
      </c>
      <c r="H91" s="1">
        <v>3</v>
      </c>
      <c r="I91" s="12" t="s">
        <v>46</v>
      </c>
      <c r="J91" s="12" t="s">
        <v>162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12" t="s">
        <v>47</v>
      </c>
      <c r="Q91" s="12" t="s">
        <v>75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354</v>
      </c>
      <c r="G92" s="1">
        <v>4</v>
      </c>
      <c r="H92" s="1">
        <v>4</v>
      </c>
      <c r="I92" s="12" t="s">
        <v>35</v>
      </c>
      <c r="J92" s="12" t="s">
        <v>165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12" t="s">
        <v>52</v>
      </c>
      <c r="Q92" s="12" t="s">
        <v>249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355</v>
      </c>
      <c r="G93" s="1">
        <v>5</v>
      </c>
      <c r="H93" s="12" t="s">
        <v>40</v>
      </c>
      <c r="I93" s="12" t="s">
        <v>35</v>
      </c>
      <c r="J93" s="12" t="s">
        <v>165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12" t="s">
        <v>49</v>
      </c>
      <c r="Q93" s="12" t="s">
        <v>251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356</v>
      </c>
      <c r="G94" s="1">
        <v>7</v>
      </c>
      <c r="H94" s="12" t="s">
        <v>42</v>
      </c>
      <c r="I94" s="12" t="s">
        <v>46</v>
      </c>
      <c r="J94" s="12" t="s">
        <v>162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12" t="s">
        <v>47</v>
      </c>
      <c r="Q94" s="12" t="s">
        <v>75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357</v>
      </c>
      <c r="G95" s="1">
        <v>9</v>
      </c>
      <c r="H95" s="1">
        <v>9</v>
      </c>
      <c r="I95" s="12" t="s">
        <v>29</v>
      </c>
      <c r="J95" s="12" t="s">
        <v>52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12" t="s">
        <v>52</v>
      </c>
      <c r="Q95" s="12" t="s">
        <v>249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358</v>
      </c>
      <c r="G96" s="1">
        <v>10</v>
      </c>
      <c r="H96" s="1">
        <v>10</v>
      </c>
      <c r="I96" s="12" t="s">
        <v>46</v>
      </c>
      <c r="J96" s="12" t="s">
        <v>162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12" t="s">
        <v>52</v>
      </c>
      <c r="Q96" s="12" t="s">
        <v>249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359</v>
      </c>
      <c r="G97" s="1">
        <v>1</v>
      </c>
      <c r="H97" s="1">
        <v>1</v>
      </c>
      <c r="I97" s="12" t="s">
        <v>58</v>
      </c>
      <c r="J97" s="12" t="s">
        <v>160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12" t="s">
        <v>59</v>
      </c>
      <c r="Q97" s="12" t="s">
        <v>71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360</v>
      </c>
      <c r="G98" s="1">
        <v>2</v>
      </c>
      <c r="H98" s="1">
        <v>2</v>
      </c>
      <c r="I98" s="12" t="s">
        <v>29</v>
      </c>
      <c r="J98" s="12" t="s">
        <v>162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12" t="s">
        <v>61</v>
      </c>
      <c r="Q98" s="12" t="s">
        <v>246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361</v>
      </c>
      <c r="G99" s="1">
        <v>3</v>
      </c>
      <c r="H99" s="1">
        <v>3</v>
      </c>
      <c r="I99" s="12" t="s">
        <v>58</v>
      </c>
      <c r="J99" s="12" t="s">
        <v>162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12" t="s">
        <v>59</v>
      </c>
      <c r="Q99" s="12" t="s">
        <v>75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362</v>
      </c>
      <c r="G100" s="1">
        <v>4</v>
      </c>
      <c r="H100" s="1">
        <v>4</v>
      </c>
      <c r="I100" s="12" t="s">
        <v>35</v>
      </c>
      <c r="J100" s="12" t="s">
        <v>165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12" t="s">
        <v>64</v>
      </c>
      <c r="Q100" s="12" t="s">
        <v>249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363</v>
      </c>
      <c r="G101" s="1">
        <v>5</v>
      </c>
      <c r="H101" s="12" t="s">
        <v>40</v>
      </c>
      <c r="I101" s="12" t="s">
        <v>35</v>
      </c>
      <c r="J101" s="12" t="s">
        <v>165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12" t="s">
        <v>61</v>
      </c>
      <c r="Q101" s="12" t="s">
        <v>251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364</v>
      </c>
      <c r="G102" s="1">
        <v>7</v>
      </c>
      <c r="H102" s="12" t="s">
        <v>42</v>
      </c>
      <c r="I102" s="12" t="s">
        <v>58</v>
      </c>
      <c r="J102" s="12" t="s">
        <v>162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12" t="s">
        <v>59</v>
      </c>
      <c r="Q102" s="12" t="s">
        <v>75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365</v>
      </c>
      <c r="G103" s="1">
        <v>9</v>
      </c>
      <c r="H103" s="1">
        <v>9</v>
      </c>
      <c r="I103" s="12" t="s">
        <v>29</v>
      </c>
      <c r="J103" s="12" t="s">
        <v>52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12" t="s">
        <v>64</v>
      </c>
      <c r="Q103" s="12" t="s">
        <v>249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366</v>
      </c>
      <c r="G104" s="1">
        <v>10</v>
      </c>
      <c r="H104" s="1">
        <v>10</v>
      </c>
      <c r="I104" s="12" t="s">
        <v>58</v>
      </c>
      <c r="J104" s="12" t="s">
        <v>162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12" t="s">
        <v>64</v>
      </c>
      <c r="Q104" s="12" t="s">
        <v>249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C6" sqref="C6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8"/>
      <c r="C3" s="9" t="s">
        <v>0</v>
      </c>
      <c r="D3" s="9" t="s">
        <v>1</v>
      </c>
      <c r="E3" s="9" t="s">
        <v>2</v>
      </c>
      <c r="F3" s="9" t="s">
        <v>3</v>
      </c>
      <c r="G3" s="9" t="s">
        <v>4</v>
      </c>
      <c r="H3" s="9" t="s">
        <v>5</v>
      </c>
      <c r="I3" s="10" t="s">
        <v>6</v>
      </c>
      <c r="J3" s="11" t="s">
        <v>7</v>
      </c>
      <c r="K3" s="9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</row>
    <row r="4" s="1" customFormat="1" ht="18" customHeight="1" spans="1:17">
      <c r="A4" s="8"/>
      <c r="C4" s="9" t="s">
        <v>15</v>
      </c>
      <c r="D4" s="9" t="s">
        <v>1</v>
      </c>
      <c r="E4" s="9" t="s">
        <v>2</v>
      </c>
      <c r="F4" s="9" t="s">
        <v>3</v>
      </c>
      <c r="G4" s="9" t="s">
        <v>4</v>
      </c>
      <c r="H4" s="9" t="s">
        <v>5</v>
      </c>
      <c r="I4" s="10" t="s">
        <v>16</v>
      </c>
      <c r="J4" s="11" t="s">
        <v>17</v>
      </c>
      <c r="K4" s="9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</row>
    <row r="5" s="1" customFormat="1" ht="18" customHeight="1" spans="1:17">
      <c r="A5" s="8"/>
      <c r="C5" s="9" t="s">
        <v>18</v>
      </c>
      <c r="D5" s="9" t="s">
        <v>18</v>
      </c>
      <c r="E5" s="9" t="s">
        <v>18</v>
      </c>
      <c r="F5" s="9" t="s">
        <v>19</v>
      </c>
      <c r="G5" s="9" t="s">
        <v>18</v>
      </c>
      <c r="H5" s="9" t="s">
        <v>20</v>
      </c>
      <c r="I5" s="10" t="s">
        <v>20</v>
      </c>
      <c r="J5" s="11" t="s">
        <v>21</v>
      </c>
      <c r="K5" s="9" t="s">
        <v>22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20</v>
      </c>
      <c r="Q5" s="9" t="s">
        <v>20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367</v>
      </c>
      <c r="G6" s="1">
        <v>1</v>
      </c>
      <c r="H6" s="1">
        <v>1</v>
      </c>
      <c r="I6" s="12" t="s">
        <v>368</v>
      </c>
      <c r="J6" s="12" t="s">
        <v>369</v>
      </c>
      <c r="K6" s="1">
        <v>1</v>
      </c>
      <c r="L6" s="1">
        <v>1</v>
      </c>
      <c r="M6" s="1">
        <v>0</v>
      </c>
      <c r="N6" s="1">
        <v>0</v>
      </c>
      <c r="O6" s="1">
        <v>0</v>
      </c>
    </row>
    <row r="7" spans="1:17">
      <c r="C7" s="1">
        <v>200002</v>
      </c>
      <c r="D7" s="1">
        <v>1</v>
      </c>
      <c r="E7" s="1">
        <v>1</v>
      </c>
      <c r="F7" s="1" t="s">
        <v>370</v>
      </c>
      <c r="G7" s="1">
        <v>2</v>
      </c>
      <c r="H7" s="1">
        <v>2</v>
      </c>
      <c r="I7" s="12" t="s">
        <v>371</v>
      </c>
      <c r="J7" s="12" t="s">
        <v>372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 s="1"/>
      <c r="Q7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3"/>
  <sheetViews>
    <sheetView tabSelected="1" workbookViewId="0">
      <selection activeCell="F26" sqref="F2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4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373</v>
      </c>
    </row>
    <row r="2" s="1" customFormat="1" customHeight="1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373</v>
      </c>
    </row>
    <row r="3" s="1" customFormat="1" customHeight="1" spans="1:14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374</v>
      </c>
      <c r="L3" s="4" t="s">
        <v>375</v>
      </c>
      <c r="M3" s="4" t="s">
        <v>9</v>
      </c>
      <c r="N3" s="4" t="s">
        <v>376</v>
      </c>
    </row>
    <row r="4" s="1" customFormat="1" customHeight="1" spans="1:14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377</v>
      </c>
      <c r="L4" s="4" t="s">
        <v>375</v>
      </c>
      <c r="M4" s="4" t="s">
        <v>9</v>
      </c>
      <c r="N4" s="4"/>
    </row>
    <row r="5" s="1" customFormat="1" customHeight="1" spans="1:14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</row>
    <row r="6" s="1" customFormat="1" customHeight="1" spans="1:14">
      <c r="A6" s="2"/>
      <c r="B6" s="2"/>
      <c r="C6" s="1">
        <v>201001</v>
      </c>
      <c r="D6" s="2">
        <v>10</v>
      </c>
      <c r="E6" s="2">
        <v>10</v>
      </c>
      <c r="F6" s="2" t="s">
        <v>378</v>
      </c>
      <c r="G6" s="1">
        <v>4</v>
      </c>
      <c r="H6" s="1">
        <v>4</v>
      </c>
      <c r="I6" s="13" t="s">
        <v>379</v>
      </c>
      <c r="J6" s="13" t="s">
        <v>380</v>
      </c>
      <c r="K6" s="2">
        <v>1</v>
      </c>
      <c r="L6" s="2">
        <v>7</v>
      </c>
      <c r="M6" s="2">
        <v>1</v>
      </c>
      <c r="N6" s="2" t="s">
        <v>381</v>
      </c>
    </row>
    <row r="7" s="1" customFormat="1" customHeight="1" spans="1:14">
      <c r="A7" s="2"/>
      <c r="B7" s="2"/>
      <c r="C7" s="1">
        <v>201002</v>
      </c>
      <c r="D7" s="2">
        <v>10</v>
      </c>
      <c r="E7" s="2">
        <v>10</v>
      </c>
      <c r="F7" s="2" t="s">
        <v>382</v>
      </c>
      <c r="G7" s="1">
        <v>5</v>
      </c>
      <c r="H7" s="12" t="s">
        <v>40</v>
      </c>
      <c r="I7" s="12" t="s">
        <v>35</v>
      </c>
      <c r="J7" s="12" t="s">
        <v>383</v>
      </c>
      <c r="K7" s="2">
        <v>2</v>
      </c>
      <c r="L7" s="2">
        <v>7</v>
      </c>
      <c r="M7" s="2">
        <v>1</v>
      </c>
      <c r="N7" s="2" t="s">
        <v>384</v>
      </c>
    </row>
    <row r="8" s="1" customFormat="1" customHeight="1" spans="1:14">
      <c r="A8" s="2"/>
      <c r="B8" s="2"/>
      <c r="C8" s="1">
        <v>201003</v>
      </c>
      <c r="D8" s="2">
        <v>10</v>
      </c>
      <c r="E8" s="2">
        <v>10</v>
      </c>
      <c r="F8" s="2" t="s">
        <v>385</v>
      </c>
      <c r="G8" s="2">
        <v>2</v>
      </c>
      <c r="H8" s="2">
        <v>2</v>
      </c>
      <c r="I8" s="12" t="s">
        <v>29</v>
      </c>
      <c r="J8" s="12" t="s">
        <v>380</v>
      </c>
      <c r="K8" s="2">
        <v>3</v>
      </c>
      <c r="L8" s="2">
        <v>7</v>
      </c>
      <c r="M8" s="2">
        <v>1</v>
      </c>
      <c r="N8" s="2"/>
    </row>
    <row r="9" s="1" customFormat="1" customHeight="1" spans="1:14">
      <c r="A9" s="2"/>
      <c r="B9" s="2"/>
      <c r="C9" s="1">
        <v>201004</v>
      </c>
      <c r="D9" s="2">
        <v>10</v>
      </c>
      <c r="E9" s="2">
        <v>20</v>
      </c>
      <c r="F9" s="2" t="s">
        <v>386</v>
      </c>
      <c r="G9" s="2">
        <v>2</v>
      </c>
      <c r="H9" s="2">
        <v>2</v>
      </c>
      <c r="I9" s="12" t="s">
        <v>35</v>
      </c>
      <c r="J9" s="12" t="s">
        <v>387</v>
      </c>
      <c r="K9" s="2">
        <v>4</v>
      </c>
      <c r="L9" s="2">
        <v>7</v>
      </c>
      <c r="M9" s="2">
        <v>1</v>
      </c>
      <c r="N9" s="2" t="s">
        <v>388</v>
      </c>
    </row>
    <row r="10" s="1" customFormat="1" customHeight="1" spans="1:14">
      <c r="A10" s="2"/>
      <c r="B10" s="2"/>
      <c r="C10" s="1">
        <v>201005</v>
      </c>
      <c r="D10" s="2">
        <v>10</v>
      </c>
      <c r="E10" s="2">
        <v>20</v>
      </c>
      <c r="F10" s="2" t="s">
        <v>389</v>
      </c>
      <c r="G10" s="1">
        <v>3</v>
      </c>
      <c r="H10" s="1">
        <v>3</v>
      </c>
      <c r="I10" s="12" t="s">
        <v>379</v>
      </c>
      <c r="J10" s="12" t="s">
        <v>390</v>
      </c>
      <c r="K10" s="2">
        <v>5</v>
      </c>
      <c r="L10" s="2">
        <v>7</v>
      </c>
      <c r="M10" s="2">
        <v>1</v>
      </c>
      <c r="N10" s="2" t="s">
        <v>391</v>
      </c>
    </row>
    <row r="11" s="1" customFormat="1" customHeight="1" spans="1:14">
      <c r="A11" s="2"/>
      <c r="B11" s="2"/>
      <c r="C11" s="1">
        <v>201006</v>
      </c>
      <c r="D11" s="2">
        <v>10</v>
      </c>
      <c r="E11" s="2">
        <v>20</v>
      </c>
      <c r="F11" s="2" t="s">
        <v>392</v>
      </c>
      <c r="G11" s="1">
        <v>9</v>
      </c>
      <c r="H11" s="1">
        <v>9</v>
      </c>
      <c r="I11" s="12" t="s">
        <v>29</v>
      </c>
      <c r="J11" s="12" t="s">
        <v>390</v>
      </c>
      <c r="K11" s="2">
        <v>6</v>
      </c>
      <c r="L11" s="2">
        <v>7</v>
      </c>
      <c r="M11" s="2">
        <v>1</v>
      </c>
      <c r="N11" s="2"/>
    </row>
    <row r="12" s="1" customFormat="1" customHeight="1" spans="1:14">
      <c r="A12" s="2"/>
      <c r="B12" s="2"/>
      <c r="C12" s="1">
        <v>201007</v>
      </c>
      <c r="D12" s="2">
        <v>10</v>
      </c>
      <c r="E12" s="2">
        <v>30</v>
      </c>
      <c r="F12" s="2" t="s">
        <v>393</v>
      </c>
      <c r="G12" s="2">
        <v>2</v>
      </c>
      <c r="H12" s="2">
        <v>2</v>
      </c>
      <c r="I12" s="12" t="s">
        <v>29</v>
      </c>
      <c r="J12" s="12" t="s">
        <v>394</v>
      </c>
      <c r="K12" s="2">
        <v>7</v>
      </c>
      <c r="L12" s="2">
        <v>7</v>
      </c>
      <c r="M12" s="2">
        <v>1</v>
      </c>
      <c r="N12" s="2" t="s">
        <v>395</v>
      </c>
    </row>
    <row r="13" customFormat="1" customHeight="1" spans="1:14">
      <c r="A13" s="2"/>
      <c r="B13" s="2"/>
      <c r="C13" s="1">
        <v>201008</v>
      </c>
      <c r="D13" s="2">
        <v>10</v>
      </c>
      <c r="E13" s="2">
        <v>30</v>
      </c>
      <c r="F13" s="2" t="s">
        <v>396</v>
      </c>
      <c r="G13" s="1">
        <v>4</v>
      </c>
      <c r="H13" s="1">
        <v>4</v>
      </c>
      <c r="I13" s="12" t="s">
        <v>35</v>
      </c>
      <c r="J13" s="12" t="s">
        <v>397</v>
      </c>
      <c r="K13" s="2">
        <v>8</v>
      </c>
      <c r="L13" s="2">
        <v>7</v>
      </c>
      <c r="M13" s="2">
        <v>1</v>
      </c>
      <c r="N13" s="7"/>
    </row>
    <row r="14" customFormat="1" customHeight="1" spans="1:14">
      <c r="A14" s="2"/>
      <c r="B14" s="2"/>
      <c r="C14" s="1">
        <v>201009</v>
      </c>
      <c r="D14" s="2">
        <v>10</v>
      </c>
      <c r="E14" s="2">
        <v>30</v>
      </c>
      <c r="F14" s="2" t="s">
        <v>398</v>
      </c>
      <c r="G14" s="1">
        <v>10</v>
      </c>
      <c r="H14" s="1">
        <v>10</v>
      </c>
      <c r="I14" s="12" t="s">
        <v>379</v>
      </c>
      <c r="J14" s="12" t="s">
        <v>394</v>
      </c>
      <c r="K14" s="2">
        <v>9</v>
      </c>
      <c r="L14" s="2">
        <v>7</v>
      </c>
      <c r="M14" s="2">
        <v>1</v>
      </c>
      <c r="N14" s="7"/>
    </row>
    <row r="15" customFormat="1" customHeight="1" spans="1:14">
      <c r="A15" s="2"/>
      <c r="B15" s="2"/>
      <c r="C15" s="2"/>
      <c r="D15" s="2"/>
      <c r="E15" s="2"/>
      <c r="F15" s="2"/>
      <c r="G15" s="1"/>
      <c r="H15" s="1"/>
      <c r="I15" s="7"/>
      <c r="J15" s="7"/>
      <c r="K15" s="2"/>
      <c r="L15" s="7"/>
      <c r="M15" s="7"/>
      <c r="N15" s="7"/>
    </row>
    <row r="16" customFormat="1" customHeight="1" spans="1:14">
      <c r="A16" s="2" t="s">
        <v>373</v>
      </c>
      <c r="B16" s="2" t="s">
        <v>373</v>
      </c>
      <c r="C16" s="1">
        <v>201010</v>
      </c>
      <c r="D16" s="2">
        <v>10</v>
      </c>
      <c r="E16" s="2">
        <v>40</v>
      </c>
      <c r="F16" s="2" t="s">
        <v>399</v>
      </c>
      <c r="G16" s="1">
        <v>3</v>
      </c>
      <c r="H16" s="1">
        <v>3</v>
      </c>
      <c r="I16" s="2"/>
      <c r="J16" s="2"/>
      <c r="K16" s="2">
        <v>5</v>
      </c>
      <c r="L16" s="2"/>
      <c r="M16" s="2"/>
      <c r="N16" s="2" t="s">
        <v>400</v>
      </c>
    </row>
    <row r="17" customFormat="1" customHeight="1" spans="1:14">
      <c r="A17" s="2" t="s">
        <v>373</v>
      </c>
      <c r="B17" s="2" t="s">
        <v>373</v>
      </c>
      <c r="C17" s="1">
        <v>201011</v>
      </c>
      <c r="D17" s="2">
        <v>10</v>
      </c>
      <c r="E17" s="2">
        <v>40</v>
      </c>
      <c r="F17" s="2" t="s">
        <v>401</v>
      </c>
      <c r="G17" s="1">
        <v>9</v>
      </c>
      <c r="H17" s="1">
        <v>9</v>
      </c>
      <c r="I17" s="2"/>
      <c r="J17" s="2"/>
      <c r="K17" s="2">
        <v>5</v>
      </c>
      <c r="L17" s="2"/>
      <c r="M17" s="2"/>
      <c r="N17" s="2"/>
    </row>
    <row r="18" customFormat="1" customHeight="1" spans="1:14">
      <c r="A18" s="2" t="s">
        <v>373</v>
      </c>
      <c r="B18" s="2" t="s">
        <v>373</v>
      </c>
      <c r="C18" s="1">
        <v>201012</v>
      </c>
      <c r="D18" s="2">
        <v>10</v>
      </c>
      <c r="E18" s="2">
        <v>40</v>
      </c>
      <c r="F18" s="2" t="s">
        <v>402</v>
      </c>
      <c r="G18" s="1">
        <v>10</v>
      </c>
      <c r="H18" s="1">
        <v>10</v>
      </c>
      <c r="I18" s="2"/>
      <c r="J18" s="2"/>
      <c r="K18" s="2">
        <v>5</v>
      </c>
      <c r="L18" s="2"/>
      <c r="M18" s="2"/>
      <c r="N18" s="2"/>
    </row>
    <row r="19" s="1" customFormat="1" customHeight="1" spans="1:14">
      <c r="A19" s="2" t="s">
        <v>373</v>
      </c>
      <c r="B19" s="2" t="s">
        <v>373</v>
      </c>
      <c r="C19" s="1">
        <v>201013</v>
      </c>
      <c r="D19" s="2">
        <v>10</v>
      </c>
      <c r="E19" s="2">
        <v>50</v>
      </c>
      <c r="F19" s="2" t="s">
        <v>403</v>
      </c>
      <c r="G19" s="1">
        <v>1</v>
      </c>
      <c r="H19" s="1">
        <v>1</v>
      </c>
      <c r="I19" s="2"/>
      <c r="J19" s="2"/>
      <c r="K19" s="2">
        <v>4</v>
      </c>
      <c r="L19" s="2"/>
      <c r="M19" s="2"/>
      <c r="N19" s="2" t="s">
        <v>404</v>
      </c>
    </row>
    <row r="20" s="1" customFormat="1" customHeight="1" spans="1:14">
      <c r="A20" s="2" t="s">
        <v>373</v>
      </c>
      <c r="B20" s="2" t="s">
        <v>373</v>
      </c>
      <c r="C20" s="1">
        <v>201014</v>
      </c>
      <c r="D20" s="2">
        <v>10</v>
      </c>
      <c r="E20" s="2">
        <v>50</v>
      </c>
      <c r="F20" s="2" t="s">
        <v>405</v>
      </c>
      <c r="G20" s="1">
        <v>3</v>
      </c>
      <c r="H20" s="1">
        <v>3</v>
      </c>
      <c r="I20" s="2"/>
      <c r="J20" s="2"/>
      <c r="K20" s="2">
        <v>4</v>
      </c>
      <c r="L20" s="2"/>
      <c r="M20" s="2"/>
      <c r="N20" s="2"/>
    </row>
    <row r="21" s="1" customFormat="1" customHeight="1" spans="1:14">
      <c r="A21" s="2" t="s">
        <v>373</v>
      </c>
      <c r="B21" s="2" t="s">
        <v>373</v>
      </c>
      <c r="C21" s="1">
        <v>201015</v>
      </c>
      <c r="D21" s="2">
        <v>10</v>
      </c>
      <c r="E21" s="2">
        <v>50</v>
      </c>
      <c r="F21" s="2" t="s">
        <v>406</v>
      </c>
      <c r="G21" s="1">
        <v>7</v>
      </c>
      <c r="H21" s="12" t="s">
        <v>42</v>
      </c>
      <c r="I21" s="2"/>
      <c r="J21" s="2"/>
      <c r="K21" s="2">
        <v>4</v>
      </c>
      <c r="L21" s="2"/>
      <c r="M21" s="2"/>
      <c r="N21" s="2"/>
    </row>
    <row r="22" s="1" customFormat="1" customHeight="1" spans="1:14">
      <c r="A22" s="2" t="s">
        <v>373</v>
      </c>
      <c r="B22" s="2" t="s">
        <v>373</v>
      </c>
      <c r="C22" s="1">
        <v>201016</v>
      </c>
      <c r="D22" s="2">
        <v>10</v>
      </c>
      <c r="E22" s="2">
        <v>60</v>
      </c>
      <c r="F22" s="2" t="s">
        <v>407</v>
      </c>
      <c r="G22" s="1">
        <v>1</v>
      </c>
      <c r="H22" s="1">
        <v>1</v>
      </c>
      <c r="I22" s="2"/>
      <c r="J22" s="2"/>
      <c r="K22" s="2">
        <v>7</v>
      </c>
      <c r="L22" s="2"/>
      <c r="M22" s="2"/>
      <c r="N22" s="2" t="s">
        <v>408</v>
      </c>
    </row>
    <row r="23" s="1" customFormat="1" customHeight="1" spans="1:14">
      <c r="A23" s="2" t="s">
        <v>373</v>
      </c>
      <c r="B23" s="2" t="s">
        <v>373</v>
      </c>
      <c r="C23" s="1">
        <v>201017</v>
      </c>
      <c r="D23" s="2">
        <v>10</v>
      </c>
      <c r="E23" s="2">
        <v>60</v>
      </c>
      <c r="F23" s="2" t="s">
        <v>409</v>
      </c>
      <c r="G23" s="1">
        <v>3</v>
      </c>
      <c r="H23" s="1">
        <v>3</v>
      </c>
      <c r="I23" s="2"/>
      <c r="J23" s="2"/>
      <c r="K23" s="2">
        <v>7</v>
      </c>
      <c r="L23" s="2"/>
      <c r="M23" s="2"/>
      <c r="N23" s="2"/>
    </row>
    <row r="24" s="1" customFormat="1" customHeight="1" spans="1:14">
      <c r="A24" s="2" t="s">
        <v>373</v>
      </c>
      <c r="B24" s="2" t="s">
        <v>373</v>
      </c>
      <c r="C24" s="1">
        <v>201018</v>
      </c>
      <c r="D24" s="2">
        <v>10</v>
      </c>
      <c r="E24" s="2">
        <v>60</v>
      </c>
      <c r="F24" s="2" t="s">
        <v>410</v>
      </c>
      <c r="G24" s="1">
        <v>7</v>
      </c>
      <c r="H24" s="12" t="s">
        <v>42</v>
      </c>
      <c r="I24" s="2"/>
      <c r="J24" s="2"/>
      <c r="K24" s="2">
        <v>7</v>
      </c>
      <c r="L24" s="2"/>
      <c r="M24" s="2"/>
      <c r="N24" s="2"/>
    </row>
    <row r="25" s="1" customFormat="1" customHeight="1" spans="1:14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</row>
    <row r="26" s="1" customFormat="1" customHeight="1" spans="1:14">
      <c r="A26" s="2" t="s">
        <v>373</v>
      </c>
      <c r="B26" s="2" t="s">
        <v>373</v>
      </c>
      <c r="C26" s="1">
        <v>201019</v>
      </c>
      <c r="D26" s="2">
        <v>10</v>
      </c>
      <c r="E26" s="2">
        <v>10</v>
      </c>
      <c r="F26" s="2" t="s">
        <v>411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412</v>
      </c>
    </row>
    <row r="27" s="1" customFormat="1" customHeight="1" spans="1:14">
      <c r="A27" s="2" t="s">
        <v>373</v>
      </c>
      <c r="B27" s="2" t="s">
        <v>373</v>
      </c>
      <c r="C27" s="1">
        <v>201020</v>
      </c>
      <c r="D27" s="2">
        <v>10</v>
      </c>
      <c r="E27" s="2">
        <v>10</v>
      </c>
      <c r="F27" s="2" t="s">
        <v>413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</row>
    <row r="28" s="1" customFormat="1" customHeight="1" spans="1:14">
      <c r="A28" s="2" t="s">
        <v>373</v>
      </c>
      <c r="B28" s="2" t="s">
        <v>373</v>
      </c>
      <c r="C28" s="1">
        <v>201021</v>
      </c>
      <c r="D28" s="2">
        <v>10</v>
      </c>
      <c r="E28" s="2">
        <v>10</v>
      </c>
      <c r="F28" s="2" t="s">
        <v>414</v>
      </c>
      <c r="G28" s="1">
        <v>7</v>
      </c>
      <c r="H28" s="12" t="s">
        <v>42</v>
      </c>
      <c r="I28" s="2"/>
      <c r="J28" s="2"/>
      <c r="K28" s="2">
        <v>2</v>
      </c>
      <c r="L28" s="2"/>
      <c r="M28" s="2"/>
      <c r="N28" s="2"/>
    </row>
    <row r="31" s="1" customFormat="1" customHeight="1" spans="1:14">
      <c r="A31" s="2" t="s">
        <v>373</v>
      </c>
      <c r="B31" s="2" t="s">
        <v>373</v>
      </c>
      <c r="C31" s="2">
        <v>211019</v>
      </c>
      <c r="D31" s="2">
        <v>10</v>
      </c>
      <c r="E31" s="2">
        <v>10</v>
      </c>
      <c r="F31" s="2" t="s">
        <v>415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416</v>
      </c>
    </row>
    <row r="32" s="1" customFormat="1" customHeight="1" spans="1:14">
      <c r="A32" s="2" t="s">
        <v>373</v>
      </c>
      <c r="B32" s="2" t="s">
        <v>373</v>
      </c>
      <c r="C32" s="2">
        <v>211020</v>
      </c>
      <c r="D32" s="2">
        <v>10</v>
      </c>
      <c r="E32" s="2">
        <v>10</v>
      </c>
      <c r="F32" s="2" t="s">
        <v>417</v>
      </c>
      <c r="G32" s="1">
        <v>5</v>
      </c>
      <c r="H32" s="12" t="s">
        <v>40</v>
      </c>
      <c r="I32" s="2"/>
      <c r="J32" s="2"/>
      <c r="K32" s="2">
        <v>8</v>
      </c>
      <c r="L32" s="2"/>
      <c r="M32" s="2"/>
      <c r="N32" s="2"/>
    </row>
    <row r="33" s="1" customFormat="1" customHeight="1" spans="1:14">
      <c r="A33" s="2" t="s">
        <v>373</v>
      </c>
      <c r="B33" s="2" t="s">
        <v>373</v>
      </c>
      <c r="C33" s="2">
        <v>211021</v>
      </c>
      <c r="D33" s="2">
        <v>10</v>
      </c>
      <c r="E33" s="2">
        <v>10</v>
      </c>
      <c r="F33" s="2" t="s">
        <v>418</v>
      </c>
      <c r="G33" s="1">
        <v>7</v>
      </c>
      <c r="H33" s="12" t="s">
        <v>42</v>
      </c>
      <c r="I33" s="2"/>
      <c r="J33" s="2"/>
      <c r="K33" s="2">
        <v>8</v>
      </c>
      <c r="L33" s="2"/>
      <c r="M33" s="2"/>
      <c r="N33" s="2"/>
    </row>
    <row r="34" s="1" customFormat="1" customHeight="1" spans="1:14">
      <c r="A34" s="2" t="s">
        <v>373</v>
      </c>
      <c r="B34" s="2" t="s">
        <v>373</v>
      </c>
      <c r="C34" s="2">
        <v>211022</v>
      </c>
      <c r="D34" s="2">
        <v>10</v>
      </c>
      <c r="E34" s="2">
        <v>10</v>
      </c>
      <c r="F34" s="2" t="s">
        <v>419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420</v>
      </c>
    </row>
    <row r="35" s="1" customFormat="1" customHeight="1" spans="1:14">
      <c r="A35" s="2" t="s">
        <v>373</v>
      </c>
      <c r="B35" s="2" t="s">
        <v>373</v>
      </c>
      <c r="C35" s="2">
        <v>211023</v>
      </c>
      <c r="D35" s="2">
        <v>10</v>
      </c>
      <c r="E35" s="2">
        <v>10</v>
      </c>
      <c r="F35" s="2" t="s">
        <v>421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</row>
    <row r="36" s="1" customFormat="1" customHeight="1" spans="1:14">
      <c r="A36" s="2" t="s">
        <v>373</v>
      </c>
      <c r="B36" s="2" t="s">
        <v>373</v>
      </c>
      <c r="C36" s="2">
        <v>211024</v>
      </c>
      <c r="D36" s="2">
        <v>10</v>
      </c>
      <c r="E36" s="2">
        <v>10</v>
      </c>
      <c r="F36" s="2" t="s">
        <v>422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</row>
    <row r="37" s="1" customFormat="1" customHeight="1" spans="1:14">
      <c r="A37" s="2" t="s">
        <v>373</v>
      </c>
      <c r="B37" s="2" t="s">
        <v>373</v>
      </c>
      <c r="C37" s="2">
        <v>211025</v>
      </c>
      <c r="D37" s="2">
        <v>10</v>
      </c>
      <c r="E37" s="2">
        <v>10</v>
      </c>
      <c r="F37" s="2" t="s">
        <v>423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424</v>
      </c>
    </row>
    <row r="38" s="1" customFormat="1" customHeight="1" spans="1:14">
      <c r="A38" s="2" t="s">
        <v>373</v>
      </c>
      <c r="B38" s="2" t="s">
        <v>373</v>
      </c>
      <c r="C38" s="2">
        <v>211026</v>
      </c>
      <c r="D38" s="2">
        <v>10</v>
      </c>
      <c r="E38" s="2">
        <v>10</v>
      </c>
      <c r="F38" s="2" t="s">
        <v>425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</row>
    <row r="39" s="1" customFormat="1" customHeight="1" spans="1:14">
      <c r="A39" s="2" t="s">
        <v>373</v>
      </c>
      <c r="B39" s="2" t="s">
        <v>373</v>
      </c>
      <c r="C39" s="2">
        <v>211027</v>
      </c>
      <c r="D39" s="2">
        <v>10</v>
      </c>
      <c r="E39" s="2">
        <v>10</v>
      </c>
      <c r="F39" s="2" t="s">
        <v>426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</row>
    <row r="42" customFormat="1" customHeight="1" spans="1:14">
      <c r="A42" s="2" t="s">
        <v>373</v>
      </c>
      <c r="B42" s="2" t="s">
        <v>373</v>
      </c>
      <c r="C42" s="2">
        <v>211031</v>
      </c>
      <c r="D42" s="2">
        <v>10</v>
      </c>
      <c r="E42" s="2">
        <v>10</v>
      </c>
      <c r="F42" s="2" t="s">
        <v>427</v>
      </c>
      <c r="G42" s="1">
        <v>3</v>
      </c>
      <c r="H42" s="1">
        <v>3</v>
      </c>
      <c r="I42" s="7"/>
      <c r="J42" s="7"/>
      <c r="K42" s="7">
        <v>13</v>
      </c>
      <c r="L42" s="7"/>
      <c r="M42" s="7"/>
      <c r="N42" s="7" t="s">
        <v>428</v>
      </c>
    </row>
    <row r="43" s="1" customFormat="1" customHeight="1" spans="1:14">
      <c r="A43" s="2" t="s">
        <v>373</v>
      </c>
      <c r="B43" s="2" t="s">
        <v>373</v>
      </c>
      <c r="C43" s="2">
        <v>211032</v>
      </c>
      <c r="D43" s="2">
        <v>10</v>
      </c>
      <c r="E43" s="2">
        <v>10</v>
      </c>
      <c r="F43" s="2" t="s">
        <v>429</v>
      </c>
      <c r="G43" s="1">
        <v>7</v>
      </c>
      <c r="H43" s="12" t="s">
        <v>42</v>
      </c>
      <c r="I43" s="2"/>
      <c r="J43" s="2"/>
      <c r="K43" s="7">
        <v>13</v>
      </c>
      <c r="L43" s="2"/>
      <c r="M43" s="2"/>
      <c r="N43" s="2"/>
    </row>
    <row r="44" s="1" customFormat="1" customHeight="1" spans="1:14">
      <c r="A44" s="2" t="s">
        <v>373</v>
      </c>
      <c r="B44" s="2" t="s">
        <v>373</v>
      </c>
      <c r="C44" s="2">
        <v>211033</v>
      </c>
      <c r="D44" s="2">
        <v>10</v>
      </c>
      <c r="E44" s="2">
        <v>10</v>
      </c>
      <c r="F44" s="2" t="s">
        <v>430</v>
      </c>
      <c r="G44" s="1">
        <v>9</v>
      </c>
      <c r="H44" s="1">
        <v>9</v>
      </c>
      <c r="I44" s="2"/>
      <c r="J44" s="2"/>
      <c r="K44" s="7">
        <v>13</v>
      </c>
      <c r="L44" s="2"/>
      <c r="M44" s="2"/>
      <c r="N44" s="2"/>
    </row>
    <row r="45" s="1" customFormat="1" customHeight="1" spans="1:14">
      <c r="A45" s="2" t="s">
        <v>373</v>
      </c>
      <c r="B45" s="2" t="s">
        <v>373</v>
      </c>
      <c r="C45" s="2">
        <v>211034</v>
      </c>
      <c r="D45" s="2">
        <v>10</v>
      </c>
      <c r="E45" s="2">
        <v>10</v>
      </c>
      <c r="F45" s="2" t="s">
        <v>431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432</v>
      </c>
    </row>
    <row r="46" s="1" customFormat="1" customHeight="1" spans="1:14">
      <c r="A46" s="2" t="s">
        <v>373</v>
      </c>
      <c r="B46" s="2" t="s">
        <v>373</v>
      </c>
      <c r="C46" s="2">
        <v>211035</v>
      </c>
      <c r="D46" s="2">
        <v>10</v>
      </c>
      <c r="E46" s="2">
        <v>10</v>
      </c>
      <c r="F46" s="2" t="s">
        <v>433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</row>
    <row r="47" s="1" customFormat="1" customHeight="1" spans="1:14">
      <c r="A47" s="2" t="s">
        <v>373</v>
      </c>
      <c r="B47" s="2" t="s">
        <v>373</v>
      </c>
      <c r="C47" s="2">
        <v>211036</v>
      </c>
      <c r="D47" s="2">
        <v>10</v>
      </c>
      <c r="E47" s="2">
        <v>10</v>
      </c>
      <c r="F47" s="2" t="s">
        <v>434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</row>
    <row r="48" s="1" customFormat="1" customHeight="1" spans="1:14">
      <c r="A48" s="2" t="s">
        <v>373</v>
      </c>
      <c r="B48" s="2" t="s">
        <v>373</v>
      </c>
      <c r="C48" s="2">
        <v>211037</v>
      </c>
      <c r="D48" s="2">
        <v>10</v>
      </c>
      <c r="E48" s="2">
        <v>10</v>
      </c>
      <c r="F48" s="2" t="s">
        <v>435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436</v>
      </c>
    </row>
    <row r="49" s="1" customFormat="1" customHeight="1" spans="1:14">
      <c r="A49" s="2" t="s">
        <v>373</v>
      </c>
      <c r="B49" s="2" t="s">
        <v>373</v>
      </c>
      <c r="C49" s="2">
        <v>211038</v>
      </c>
      <c r="D49" s="2">
        <v>10</v>
      </c>
      <c r="E49" s="2">
        <v>10</v>
      </c>
      <c r="F49" s="2" t="s">
        <v>437</v>
      </c>
      <c r="G49" s="1">
        <v>5</v>
      </c>
      <c r="H49" s="12" t="s">
        <v>40</v>
      </c>
      <c r="I49" s="2"/>
      <c r="J49" s="2"/>
      <c r="K49" s="2">
        <v>10</v>
      </c>
      <c r="L49" s="2"/>
      <c r="M49" s="2"/>
      <c r="N49" s="2"/>
    </row>
    <row r="50" s="1" customFormat="1" customHeight="1" spans="1:14">
      <c r="A50" s="2" t="s">
        <v>373</v>
      </c>
      <c r="B50" s="2" t="s">
        <v>373</v>
      </c>
      <c r="C50" s="2">
        <v>211039</v>
      </c>
      <c r="D50" s="2">
        <v>10</v>
      </c>
      <c r="E50" s="2">
        <v>10</v>
      </c>
      <c r="F50" s="2" t="s">
        <v>438</v>
      </c>
      <c r="G50" s="1">
        <v>7</v>
      </c>
      <c r="H50" s="12" t="s">
        <v>42</v>
      </c>
      <c r="I50" s="2"/>
      <c r="J50" s="2"/>
      <c r="K50" s="2">
        <v>10</v>
      </c>
      <c r="L50" s="2"/>
      <c r="M50" s="2"/>
      <c r="N50" s="2"/>
    </row>
    <row r="51" s="1" customFormat="1" customHeight="1" spans="1:14">
      <c r="A51" s="2" t="s">
        <v>373</v>
      </c>
      <c r="B51" s="2" t="s">
        <v>373</v>
      </c>
      <c r="C51" s="2">
        <v>211040</v>
      </c>
      <c r="D51" s="2">
        <v>10</v>
      </c>
      <c r="E51" s="2">
        <v>10</v>
      </c>
      <c r="F51" s="2" t="s">
        <v>439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440</v>
      </c>
    </row>
    <row r="52" s="1" customFormat="1" customHeight="1" spans="1:14">
      <c r="A52" s="2" t="s">
        <v>373</v>
      </c>
      <c r="B52" s="2" t="s">
        <v>373</v>
      </c>
      <c r="C52" s="2">
        <v>211041</v>
      </c>
      <c r="D52" s="2">
        <v>10</v>
      </c>
      <c r="E52" s="2">
        <v>10</v>
      </c>
      <c r="F52" s="2" t="s">
        <v>441</v>
      </c>
      <c r="G52" s="1">
        <v>5</v>
      </c>
      <c r="H52" s="12" t="s">
        <v>40</v>
      </c>
      <c r="I52" s="2"/>
      <c r="J52" s="2"/>
      <c r="K52" s="2">
        <v>3</v>
      </c>
      <c r="L52" s="2"/>
      <c r="M52" s="2"/>
      <c r="N52" s="2"/>
    </row>
    <row r="53" s="1" customFormat="1" customHeight="1" spans="1:14">
      <c r="A53" s="2" t="s">
        <v>373</v>
      </c>
      <c r="B53" s="2" t="s">
        <v>373</v>
      </c>
      <c r="C53" s="2">
        <v>211042</v>
      </c>
      <c r="D53" s="2">
        <v>10</v>
      </c>
      <c r="E53" s="2">
        <v>10</v>
      </c>
      <c r="F53" s="2" t="s">
        <v>442</v>
      </c>
      <c r="G53" s="1">
        <v>7</v>
      </c>
      <c r="H53" s="12" t="s">
        <v>42</v>
      </c>
      <c r="I53" s="2"/>
      <c r="J53" s="2"/>
      <c r="K53" s="2">
        <v>3</v>
      </c>
      <c r="L53" s="2"/>
      <c r="M53" s="2"/>
      <c r="N53" s="2"/>
    </row>
  </sheetData>
  <dataValidations count="1">
    <dataValidation type="custom" allowBlank="1" showErrorMessage="1" errorTitle="拒绝重复输入" error="当前输入的内容，与本区域的其他单元格内容重复。" sqref="C3:H5 L3:N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2026-06-17T17:27:03Z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