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四格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<sst xmlns="http://schemas.openxmlformats.org/spreadsheetml/2006/main" count="134" uniqueCount="67">
  <si>
    <t>#</t>
  </si>
  <si>
    <t>ID</t>
  </si>
  <si>
    <t>Sid</t>
  </si>
  <si>
    <t>Cycle</t>
  </si>
  <si>
    <t>LevelRequired</t>
  </si>
  <si>
    <t>Part</t>
  </si>
  <si>
    <t>Quality</t>
  </si>
  <si>
    <t>Name</t>
  </si>
  <si>
    <t>StartLayer</t>
  </si>
  <si>
    <t>EndLayer</t>
  </si>
  <si>
    <t>AttrIdList</t>
  </si>
  <si>
    <t>AttrValueList</t>
  </si>
  <si>
    <t>AttrRiseList</t>
  </si>
  <si>
    <t>RecoveryItemId</t>
  </si>
  <si>
    <t>Id</t>
  </si>
  <si>
    <t>int</t>
  </si>
  <si>
    <t>string</t>
  </si>
  <si>
    <t>int[]</t>
  </si>
  <si>
    <t>double[]</t>
  </si>
  <si>
    <t>生命</t>
  </si>
  <si>
    <t>防御、攻击</t>
  </si>
  <si>
    <t>三维加成</t>
  </si>
  <si>
    <t>爆伤、致命</t>
  </si>
  <si>
    <t>增伤、减伤</t>
  </si>
  <si>
    <t>增幅</t>
  </si>
  <si>
    <t>灵盾</t>
  </si>
  <si>
    <t>2,1002,22</t>
  </si>
  <si>
    <t>100,5,2</t>
  </si>
  <si>
    <t>暴击</t>
  </si>
  <si>
    <t>0-4</t>
  </si>
  <si>
    <t>灵符</t>
  </si>
  <si>
    <t>3,1003,24</t>
  </si>
  <si>
    <t>致命</t>
  </si>
  <si>
    <t>5-9</t>
  </si>
  <si>
    <t>灵玉</t>
  </si>
  <si>
    <t>1,1001,27</t>
  </si>
  <si>
    <t>2000,10,1</t>
  </si>
  <si>
    <t>2000,5,1</t>
  </si>
  <si>
    <t>增伤</t>
  </si>
  <si>
    <t>10-14</t>
  </si>
  <si>
    <t>灵珠</t>
  </si>
  <si>
    <t>1,1001,28</t>
  </si>
  <si>
    <t>减伤</t>
  </si>
  <si>
    <t>15-19</t>
  </si>
  <si>
    <t>20-24</t>
  </si>
  <si>
    <t>2,1002,22,2002</t>
  </si>
  <si>
    <t>1000,35,14,1</t>
  </si>
  <si>
    <t>500,10,4,1</t>
  </si>
  <si>
    <t>25-29</t>
  </si>
  <si>
    <t>3,1003,24,2003</t>
  </si>
  <si>
    <t>30-24</t>
  </si>
  <si>
    <t>1,1001,27,2001</t>
  </si>
  <si>
    <t>20000,35,7,1</t>
  </si>
  <si>
    <t>10000,10,2,1</t>
  </si>
  <si>
    <t>1,1001,28,2001</t>
  </si>
  <si>
    <t>6000,100,40,8</t>
  </si>
  <si>
    <t>2500,15,6,2</t>
  </si>
  <si>
    <t>120000,100,20,8</t>
  </si>
  <si>
    <t>50000,15,3,2</t>
  </si>
  <si>
    <t>2,1002,22,2002,10002</t>
  </si>
  <si>
    <t>26000,210,80,20,1</t>
  </si>
  <si>
    <t>10000,50,16,4,1</t>
  </si>
  <si>
    <t>3,1003,24,2003,10003</t>
  </si>
  <si>
    <t>1,1001,27,2001,10001</t>
  </si>
  <si>
    <t>520000,210,40,20,1</t>
  </si>
  <si>
    <t>200000,50,8,4,1</t>
  </si>
  <si>
    <t>1,1001,28,2001,10001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</si>
</sst>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sz val="10"/>
      <color theme="1"/>
      <name val="等线"/>
      <charset val="134"/>
    </font>
    <font>
      <b/>
      <sz val="9"/>
      <color theme="1"/>
      <name val="等线"/>
      <charset val="134"/>
    </font>
    <font>
      <sz val="9"/>
      <color rgb="FF05073B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58" fontId="1" fillId="0" borderId="0" xfId="0" applyNumberFormat="1" applyFont="1"/>
    <xf numFmtId="0" fontId="1" fillId="0" borderId="0" xfId="0" applyFont="1" quotePrefix="1"/>
    <xf numFmtId="58" fontId="1" fillId="0" borderId="0" xfId="0" applyNumberFormat="1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24"/>
  <sheetViews>
    <sheetView tabSelected="1" workbookViewId="0">
      <selection activeCell="J35" sqref="J35"/>
    </sheetView>
  </sheetViews>
  <sheetFormatPr defaultColWidth="9" defaultRowHeight="18" customHeight="1"/>
  <cols>
    <col min="1" max="1" width="6.875" style="2" customWidth="1"/>
    <col min="2" max="2" width="9" style="2"/>
    <col min="3" max="8" width="9.875" style="1" customWidth="1"/>
    <col min="9" max="9" width="15.25" style="1" customWidth="1"/>
    <col min="10" max="10" width="8.08333333333333" style="1" customWidth="1"/>
    <col min="11" max="11" width="10.0833333333333" style="1" customWidth="1"/>
    <col min="12" max="12" width="20" style="2" customWidth="1"/>
    <col min="13" max="13" width="17.25" style="2" customWidth="1"/>
    <col min="14" max="14" width="20.5" style="2" customWidth="1"/>
    <col min="15" max="15" width="13" style="3" customWidth="1"/>
    <col min="16" max="18" width="9" style="2"/>
    <col min="19" max="19" width="7" style="2" customWidth="1"/>
    <col min="20" max="20" width="11.0833333333333" style="2" customWidth="1"/>
    <col min="21" max="22" width="9" style="2"/>
    <col min="23" max="23" width="8.58333333333333" style="2" customWidth="1"/>
    <col min="24" max="24" width="10.1666666666667" style="2" customWidth="1"/>
    <col min="25" max="16374" width="9" style="2"/>
    <col min="16375" max="16384" width="9" style="1"/>
  </cols>
  <sheetData>
    <row r="1" s="1" customFormat="1" customHeight="1" spans="1:25 16375:16382">
      <c r="A1" s="2"/>
      <c r="B1" s="2"/>
      <c r="L1" s="2"/>
      <c r="M1" s="2"/>
      <c r="P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 s="1" customFormat="1" customHeight="1" spans="1:25 16375:16382">
      <c r="A2" s="2"/>
      <c r="B2" s="2"/>
      <c r="L2" s="2"/>
      <c r="M2" s="2"/>
      <c r="P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 s="1" customFormat="1" customHeight="1" spans="1:25 16375:16382">
      <c r="A3" s="2"/>
      <c r="B3" s="2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</row>
    <row r="4" s="1" customFormat="1" customHeight="1" spans="1:25 16375:16382">
      <c r="A4" s="2"/>
      <c r="B4" s="2"/>
      <c r="C4" s="4" t="s">
        <v>14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</row>
    <row r="5" s="1" customFormat="1" customHeight="1" spans="1:25 16375:16382">
      <c r="A5" s="2"/>
      <c r="B5" s="2"/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16</v>
      </c>
      <c r="J5" s="4" t="s">
        <v>15</v>
      </c>
      <c r="K5" s="4" t="s">
        <v>15</v>
      </c>
      <c r="L5" s="4" t="s">
        <v>17</v>
      </c>
      <c r="M5" s="4" t="s">
        <v>18</v>
      </c>
      <c r="N5" s="4" t="s">
        <v>18</v>
      </c>
      <c r="O5" s="4" t="s">
        <v>15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</row>
    <row r="6" s="1" customFormat="1" customHeight="1" spans="1:25 16375:16382">
      <c r="C6" s="1">
        <v>1</v>
      </c>
      <c r="D6" s="1">
        <v>1</v>
      </c>
      <c r="E6" s="1">
        <v>101</v>
      </c>
      <c r="F6" s="1">
        <v>10</v>
      </c>
      <c r="G6" s="1">
        <v>1001</v>
      </c>
      <c r="H6" s="1">
        <v>2</v>
      </c>
      <c r="I6" s="5" t="s">
        <v>25</v>
      </c>
      <c r="J6" s="5">
        <v>0</v>
      </c>
      <c r="K6" s="5">
        <v>4</v>
      </c>
      <c r="L6" s="7" t="s">
        <v>26</v>
      </c>
      <c r="M6" s="7" t="s">
        <v>27</v>
      </c>
      <c r="N6" s="7" t="s">
        <v>27</v>
      </c>
      <c r="O6" s="1">
        <v>5011</v>
      </c>
      <c r="P6" s="1" t="s">
        <v>28</v>
      </c>
      <c r="S6" s="1" t="s">
        <v>29</v>
      </c>
      <c r="T6" s="1">
        <v>2000</v>
      </c>
      <c r="U6" s="1">
        <v>100</v>
      </c>
      <c r="V6" s="1">
        <v>5</v>
      </c>
      <c r="W6" s="1">
        <v>2</v>
      </c>
      <c r="X6" s="1">
        <v>1</v>
      </c>
      <c r="Y6" s="1">
        <v>0</v>
      </c>
    </row>
    <row r="7" s="1" customFormat="1" customHeight="1" spans="1:25 16375:16382">
      <c r="C7" s="1">
        <v>2</v>
      </c>
      <c r="D7" s="1">
        <v>2</v>
      </c>
      <c r="E7" s="1">
        <v>101</v>
      </c>
      <c r="F7" s="1">
        <v>10</v>
      </c>
      <c r="G7" s="1">
        <v>1002</v>
      </c>
      <c r="H7" s="1">
        <v>2</v>
      </c>
      <c r="I7" s="5" t="s">
        <v>30</v>
      </c>
      <c r="J7" s="5">
        <v>0</v>
      </c>
      <c r="K7" s="5">
        <v>4</v>
      </c>
      <c r="L7" s="7" t="s">
        <v>31</v>
      </c>
      <c r="M7" s="7" t="s">
        <v>27</v>
      </c>
      <c r="N7" s="7" t="s">
        <v>27</v>
      </c>
      <c r="O7" s="1">
        <v>5012</v>
      </c>
      <c r="P7" s="1" t="s">
        <v>32</v>
      </c>
      <c r="S7" s="8" t="s">
        <v>33</v>
      </c>
      <c r="T7" s="1">
        <v>10000</v>
      </c>
      <c r="U7" s="1">
        <v>500</v>
      </c>
      <c r="V7" s="1">
        <v>10</v>
      </c>
      <c r="W7" s="1">
        <v>4</v>
      </c>
      <c r="X7" s="1">
        <v>2</v>
      </c>
      <c r="Y7" s="1">
        <v>1</v>
      </c>
    </row>
    <row r="8" s="1" customFormat="1" customHeight="1" spans="1:25 16375:16382">
      <c r="C8" s="1">
        <v>3</v>
      </c>
      <c r="D8" s="1">
        <v>3</v>
      </c>
      <c r="E8" s="1">
        <v>101</v>
      </c>
      <c r="F8" s="1">
        <v>10</v>
      </c>
      <c r="G8" s="1">
        <v>1003</v>
      </c>
      <c r="H8" s="1">
        <v>2</v>
      </c>
      <c r="I8" s="5" t="s">
        <v>34</v>
      </c>
      <c r="J8" s="5">
        <v>0</v>
      </c>
      <c r="K8" s="5">
        <v>4</v>
      </c>
      <c r="L8" s="7" t="s">
        <v>35</v>
      </c>
      <c r="M8" s="7" t="s">
        <v>36</v>
      </c>
      <c r="N8" s="7" t="s">
        <v>37</v>
      </c>
      <c r="O8" s="1">
        <v>5013</v>
      </c>
      <c r="P8" s="1" t="s">
        <v>38</v>
      </c>
      <c r="S8" s="7" t="s">
        <v>39</v>
      </c>
      <c r="T8" s="1">
        <v>50000</v>
      </c>
      <c r="U8" s="1">
        <v>2500</v>
      </c>
      <c r="V8" s="1">
        <v>15</v>
      </c>
      <c r="W8" s="1">
        <v>6</v>
      </c>
      <c r="X8" s="1">
        <v>3</v>
      </c>
      <c r="Y8" s="1">
        <v>2</v>
      </c>
    </row>
    <row r="9" s="1" customFormat="1" customHeight="1" spans="1:25 16375:16382">
      <c r="C9" s="1">
        <v>4</v>
      </c>
      <c r="D9" s="1">
        <v>4</v>
      </c>
      <c r="E9" s="1">
        <v>101</v>
      </c>
      <c r="F9" s="1">
        <v>10</v>
      </c>
      <c r="G9" s="1">
        <v>1004</v>
      </c>
      <c r="H9" s="1">
        <v>2</v>
      </c>
      <c r="I9" s="5" t="s">
        <v>40</v>
      </c>
      <c r="J9" s="5">
        <v>0</v>
      </c>
      <c r="K9" s="5">
        <v>4</v>
      </c>
      <c r="L9" s="7" t="s">
        <v>41</v>
      </c>
      <c r="M9" s="7" t="s">
        <v>36</v>
      </c>
      <c r="N9" s="7" t="s">
        <v>37</v>
      </c>
      <c r="O9" s="1">
        <v>5014</v>
      </c>
      <c r="P9" s="1" t="s">
        <v>42</v>
      </c>
      <c r="S9" s="7" t="s">
        <v>43</v>
      </c>
      <c r="T9" s="1">
        <v>200000</v>
      </c>
      <c r="U9" s="1">
        <v>10000</v>
      </c>
      <c r="V9" s="1">
        <v>50</v>
      </c>
      <c r="W9" s="1">
        <v>16</v>
      </c>
      <c r="X9" s="1">
        <v>8</v>
      </c>
      <c r="Y9" s="1">
        <v>4</v>
      </c>
    </row>
    <row r="10" s="1" customFormat="1" customHeight="1" spans="1:25 16375:16382">
      <c r="I10" s="5"/>
      <c r="J10" s="5"/>
      <c r="K10" s="5"/>
      <c r="S10" s="7" t="s">
        <v>44</v>
      </c>
      <c r="T10" s="2"/>
      <c r="U10" s="2"/>
      <c r="V10" s="2"/>
      <c r="W10" s="2"/>
      <c r="X10" s="2"/>
    </row>
    <row r="11" s="2" customFormat="1" customHeight="1" spans="1:25 16375:16382">
      <c r="C11" s="1">
        <v>5</v>
      </c>
      <c r="D11" s="1">
        <v>1</v>
      </c>
      <c r="E11" s="1">
        <v>101</v>
      </c>
      <c r="F11" s="1">
        <v>20</v>
      </c>
      <c r="G11" s="1">
        <v>1001</v>
      </c>
      <c r="H11" s="1">
        <v>3</v>
      </c>
      <c r="I11" s="5" t="s">
        <v>25</v>
      </c>
      <c r="J11" s="5">
        <v>5</v>
      </c>
      <c r="K11" s="5">
        <v>9</v>
      </c>
      <c r="L11" s="7" t="s">
        <v>45</v>
      </c>
      <c r="M11" s="7" t="s">
        <v>46</v>
      </c>
      <c r="N11" s="7" t="s">
        <v>47</v>
      </c>
      <c r="O11" s="1">
        <v>5011</v>
      </c>
      <c r="S11" s="7" t="s">
        <v>48</v>
      </c>
      <c r="T11" s="2"/>
      <c r="U11" s="2"/>
      <c r="V11" s="2"/>
      <c r="W11" s="2"/>
      <c r="X11" s="2"/>
      <c r="XEU11" s="1"/>
      <c r="XEV11" s="1"/>
      <c r="XEW11" s="1"/>
      <c r="XEX11" s="1"/>
      <c r="XEY11" s="1"/>
      <c r="XEZ11" s="1"/>
      <c r="XFA11" s="1"/>
      <c r="XFB11" s="1"/>
    </row>
    <row r="12" s="2" customFormat="1" customHeight="1" spans="1:25 16375:16382">
      <c r="C12" s="1">
        <v>6</v>
      </c>
      <c r="D12" s="1">
        <v>2</v>
      </c>
      <c r="E12" s="1">
        <v>101</v>
      </c>
      <c r="F12" s="1">
        <v>20</v>
      </c>
      <c r="G12" s="1">
        <v>1002</v>
      </c>
      <c r="H12" s="1">
        <v>3</v>
      </c>
      <c r="I12" s="5" t="s">
        <v>30</v>
      </c>
      <c r="J12" s="5">
        <v>5</v>
      </c>
      <c r="K12" s="5">
        <v>9</v>
      </c>
      <c r="L12" s="7" t="s">
        <v>49</v>
      </c>
      <c r="M12" s="7" t="s">
        <v>46</v>
      </c>
      <c r="N12" s="7" t="s">
        <v>47</v>
      </c>
      <c r="O12" s="1">
        <v>5012</v>
      </c>
      <c r="S12" s="7" t="s">
        <v>50</v>
      </c>
      <c r="T12" s="2"/>
      <c r="U12" s="2"/>
      <c r="V12" s="2"/>
      <c r="W12" s="2"/>
      <c r="X12" s="2"/>
      <c r="XEU12" s="1"/>
      <c r="XEV12" s="1"/>
      <c r="XEW12" s="1"/>
      <c r="XEX12" s="1"/>
      <c r="XEY12" s="1"/>
      <c r="XEZ12" s="1"/>
      <c r="XFA12" s="1"/>
      <c r="XFB12" s="1"/>
    </row>
    <row r="13" s="2" customFormat="1" customHeight="1" spans="1:25 16375:16382">
      <c r="C13" s="1">
        <v>7</v>
      </c>
      <c r="D13" s="1">
        <v>3</v>
      </c>
      <c r="E13" s="1">
        <v>101</v>
      </c>
      <c r="F13" s="1">
        <v>20</v>
      </c>
      <c r="G13" s="1">
        <v>1003</v>
      </c>
      <c r="H13" s="1">
        <v>3</v>
      </c>
      <c r="I13" s="5" t="s">
        <v>34</v>
      </c>
      <c r="J13" s="5">
        <v>5</v>
      </c>
      <c r="K13" s="5">
        <v>9</v>
      </c>
      <c r="L13" s="7" t="s">
        <v>51</v>
      </c>
      <c r="M13" s="7" t="s">
        <v>52</v>
      </c>
      <c r="N13" s="7" t="s">
        <v>53</v>
      </c>
      <c r="O13" s="1">
        <v>5013</v>
      </c>
      <c r="XEU13" s="1"/>
      <c r="XEV13" s="1"/>
      <c r="XEW13" s="1"/>
      <c r="XEX13" s="1"/>
      <c r="XEY13" s="1"/>
      <c r="XEZ13" s="1"/>
      <c r="XFA13" s="1"/>
      <c r="XFB13" s="1"/>
    </row>
    <row r="14" s="2" customFormat="1" customHeight="1" spans="1:25 16375:16382">
      <c r="C14" s="1">
        <v>8</v>
      </c>
      <c r="D14" s="1">
        <v>4</v>
      </c>
      <c r="E14" s="1">
        <v>101</v>
      </c>
      <c r="F14" s="1">
        <v>20</v>
      </c>
      <c r="G14" s="1">
        <v>1004</v>
      </c>
      <c r="H14" s="1">
        <v>3</v>
      </c>
      <c r="I14" s="5" t="s">
        <v>40</v>
      </c>
      <c r="J14" s="5">
        <v>5</v>
      </c>
      <c r="K14" s="5">
        <v>9</v>
      </c>
      <c r="L14" s="7" t="s">
        <v>54</v>
      </c>
      <c r="M14" s="7" t="s">
        <v>52</v>
      </c>
      <c r="N14" s="7" t="s">
        <v>53</v>
      </c>
      <c r="O14" s="1">
        <v>5014</v>
      </c>
      <c r="T14" s="1">
        <v>2000</v>
      </c>
      <c r="U14" s="1">
        <v>100</v>
      </c>
      <c r="V14" s="1">
        <v>5</v>
      </c>
      <c r="W14" s="1">
        <v>2</v>
      </c>
      <c r="X14" s="1">
        <v>1</v>
      </c>
      <c r="Y14" s="1">
        <v>0</v>
      </c>
      <c r="XEU14" s="1"/>
      <c r="XEV14" s="1"/>
      <c r="XEW14" s="1"/>
      <c r="XEX14" s="1"/>
      <c r="XEY14" s="1"/>
      <c r="XEZ14" s="1"/>
      <c r="XFA14" s="1"/>
      <c r="XFB14" s="1"/>
    </row>
    <row r="15" s="2" customFormat="1" customHeight="1" spans="1:25 16375:16382">
      <c r="C15" s="1"/>
      <c r="D15" s="1"/>
      <c r="E15" s="1"/>
      <c r="F15" s="1"/>
      <c r="G15" s="1"/>
      <c r="H15" s="1"/>
      <c r="I15" s="5"/>
      <c r="J15" s="5"/>
      <c r="K15" s="5"/>
      <c r="L15" s="1"/>
      <c r="M15" s="1"/>
      <c r="N15" s="1"/>
      <c r="O15" s="1"/>
      <c r="T15" s="2">
        <f t="shared" ref="T15:T18" si="0">T14+T6*4+T7</f>
        <v>20000</v>
      </c>
      <c r="U15" s="2">
        <f t="shared" ref="U15:Y15" si="1">U14+U6*4+U7</f>
        <v>1000</v>
      </c>
      <c r="V15" s="2">
        <f t="shared" si="1"/>
        <v>35</v>
      </c>
      <c r="W15" s="2">
        <f t="shared" si="1"/>
        <v>14</v>
      </c>
      <c r="X15" s="2">
        <f t="shared" si="1"/>
        <v>7</v>
      </c>
      <c r="Y15" s="2">
        <f t="shared" si="1"/>
        <v>1</v>
      </c>
      <c r="XEU15" s="1"/>
      <c r="XEV15" s="1"/>
      <c r="XEW15" s="1"/>
      <c r="XEX15" s="1"/>
      <c r="XEY15" s="1"/>
      <c r="XEZ15" s="1"/>
      <c r="XFA15" s="1"/>
      <c r="XFB15" s="1"/>
    </row>
    <row r="16" customHeight="1" spans="1:25 16375:16382">
      <c r="C16" s="1">
        <v>9</v>
      </c>
      <c r="D16" s="1">
        <v>1</v>
      </c>
      <c r="E16" s="1">
        <v>101</v>
      </c>
      <c r="F16" s="1">
        <v>30</v>
      </c>
      <c r="G16" s="1">
        <v>1001</v>
      </c>
      <c r="H16" s="1">
        <v>4</v>
      </c>
      <c r="I16" s="5" t="s">
        <v>25</v>
      </c>
      <c r="J16" s="5">
        <v>10</v>
      </c>
      <c r="K16" s="5">
        <v>14</v>
      </c>
      <c r="L16" s="7" t="s">
        <v>45</v>
      </c>
      <c r="M16" s="7" t="s">
        <v>55</v>
      </c>
      <c r="N16" s="7" t="s">
        <v>56</v>
      </c>
      <c r="O16" s="1">
        <v>5011</v>
      </c>
      <c r="T16" s="2">
        <v>120000</v>
      </c>
      <c r="U16" s="2">
        <v>6000</v>
      </c>
      <c r="V16" s="2">
        <v>100</v>
      </c>
      <c r="W16" s="2">
        <v>40</v>
      </c>
      <c r="X16" s="2">
        <v>20</v>
      </c>
      <c r="Y16" s="2">
        <v>8</v>
      </c>
    </row>
    <row r="17" customHeight="1" spans="3:25">
      <c r="C17" s="1">
        <v>10</v>
      </c>
      <c r="D17" s="1">
        <v>2</v>
      </c>
      <c r="E17" s="1">
        <v>101</v>
      </c>
      <c r="F17" s="1">
        <v>30</v>
      </c>
      <c r="G17" s="1">
        <v>1002</v>
      </c>
      <c r="H17" s="1">
        <v>4</v>
      </c>
      <c r="I17" s="5" t="s">
        <v>30</v>
      </c>
      <c r="J17" s="5">
        <v>10</v>
      </c>
      <c r="K17" s="5">
        <v>14</v>
      </c>
      <c r="L17" s="7" t="s">
        <v>49</v>
      </c>
      <c r="M17" s="7" t="s">
        <v>55</v>
      </c>
      <c r="N17" s="7" t="s">
        <v>56</v>
      </c>
      <c r="O17" s="1">
        <v>5012</v>
      </c>
      <c r="T17" s="2">
        <f t="shared" si="0"/>
        <v>520000</v>
      </c>
      <c r="U17" s="2">
        <f t="shared" ref="U17:Y17" si="2">U16+U8*4+U9</f>
        <v>26000</v>
      </c>
      <c r="V17" s="2">
        <f t="shared" si="2"/>
        <v>210</v>
      </c>
      <c r="W17" s="2">
        <f t="shared" si="2"/>
        <v>80</v>
      </c>
      <c r="X17" s="2">
        <f t="shared" si="2"/>
        <v>40</v>
      </c>
      <c r="Y17" s="2">
        <f t="shared" si="2"/>
        <v>20</v>
      </c>
    </row>
    <row r="18" customHeight="1" spans="3:25">
      <c r="C18" s="1">
        <v>11</v>
      </c>
      <c r="D18" s="1">
        <v>3</v>
      </c>
      <c r="E18" s="1">
        <v>101</v>
      </c>
      <c r="F18" s="1">
        <v>30</v>
      </c>
      <c r="G18" s="1">
        <v>1003</v>
      </c>
      <c r="H18" s="1">
        <v>4</v>
      </c>
      <c r="I18" s="5" t="s">
        <v>34</v>
      </c>
      <c r="J18" s="5">
        <v>10</v>
      </c>
      <c r="K18" s="5">
        <v>14</v>
      </c>
      <c r="L18" s="7" t="s">
        <v>51</v>
      </c>
      <c r="M18" s="7" t="s">
        <v>57</v>
      </c>
      <c r="N18" s="7" t="s">
        <v>58</v>
      </c>
      <c r="O18" s="1">
        <v>5013</v>
      </c>
    </row>
    <row r="19" customHeight="1" spans="3:25">
      <c r="C19" s="1">
        <v>12</v>
      </c>
      <c r="D19" s="1">
        <v>4</v>
      </c>
      <c r="E19" s="1">
        <v>101</v>
      </c>
      <c r="F19" s="1">
        <v>30</v>
      </c>
      <c r="G19" s="1">
        <v>1004</v>
      </c>
      <c r="H19" s="1">
        <v>4</v>
      </c>
      <c r="I19" s="5" t="s">
        <v>40</v>
      </c>
      <c r="J19" s="5">
        <v>10</v>
      </c>
      <c r="K19" s="5">
        <v>14</v>
      </c>
      <c r="L19" s="7" t="s">
        <v>54</v>
      </c>
      <c r="M19" s="7" t="s">
        <v>57</v>
      </c>
      <c r="N19" s="7" t="s">
        <v>58</v>
      </c>
      <c r="O19" s="1">
        <v>5014</v>
      </c>
    </row>
    <row r="21" customHeight="1" spans="3:25">
      <c r="C21" s="1">
        <v>13</v>
      </c>
      <c r="D21" s="1">
        <v>1</v>
      </c>
      <c r="E21" s="1">
        <v>101</v>
      </c>
      <c r="F21" s="1">
        <v>40</v>
      </c>
      <c r="G21" s="1">
        <v>1001</v>
      </c>
      <c r="H21" s="1">
        <v>5</v>
      </c>
      <c r="I21" s="5" t="s">
        <v>25</v>
      </c>
      <c r="J21" s="5">
        <v>15</v>
      </c>
      <c r="K21" s="5">
        <v>24</v>
      </c>
      <c r="L21" s="7" t="s">
        <v>59</v>
      </c>
      <c r="M21" s="7" t="s">
        <v>60</v>
      </c>
      <c r="N21" s="7" t="s">
        <v>61</v>
      </c>
      <c r="O21" s="1">
        <v>5011</v>
      </c>
    </row>
    <row r="22" customHeight="1" spans="3:25">
      <c r="C22" s="1">
        <v>14</v>
      </c>
      <c r="D22" s="1">
        <v>2</v>
      </c>
      <c r="E22" s="1">
        <v>101</v>
      </c>
      <c r="F22" s="1">
        <v>40</v>
      </c>
      <c r="G22" s="1">
        <v>1002</v>
      </c>
      <c r="H22" s="1">
        <v>5</v>
      </c>
      <c r="I22" s="5" t="s">
        <v>30</v>
      </c>
      <c r="J22" s="5">
        <v>15</v>
      </c>
      <c r="K22" s="5">
        <v>24</v>
      </c>
      <c r="L22" s="7" t="s">
        <v>62</v>
      </c>
      <c r="M22" s="7" t="s">
        <v>60</v>
      </c>
      <c r="N22" s="7" t="s">
        <v>61</v>
      </c>
      <c r="O22" s="1">
        <v>5012</v>
      </c>
    </row>
    <row r="23" customHeight="1" spans="3:25">
      <c r="C23" s="1">
        <v>15</v>
      </c>
      <c r="D23" s="1">
        <v>3</v>
      </c>
      <c r="E23" s="1">
        <v>101</v>
      </c>
      <c r="F23" s="1">
        <v>40</v>
      </c>
      <c r="G23" s="1">
        <v>1003</v>
      </c>
      <c r="H23" s="1">
        <v>5</v>
      </c>
      <c r="I23" s="5" t="s">
        <v>34</v>
      </c>
      <c r="J23" s="5">
        <v>15</v>
      </c>
      <c r="K23" s="5">
        <v>24</v>
      </c>
      <c r="L23" s="7" t="s">
        <v>63</v>
      </c>
      <c r="M23" s="7" t="s">
        <v>64</v>
      </c>
      <c r="N23" s="7" t="s">
        <v>65</v>
      </c>
      <c r="O23" s="1">
        <v>5013</v>
      </c>
    </row>
    <row r="24" customHeight="1" spans="3:25">
      <c r="C24" s="1">
        <v>16</v>
      </c>
      <c r="D24" s="1">
        <v>4</v>
      </c>
      <c r="E24" s="1">
        <v>101</v>
      </c>
      <c r="F24" s="1">
        <v>40</v>
      </c>
      <c r="G24" s="1">
        <v>1004</v>
      </c>
      <c r="H24" s="1">
        <v>5</v>
      </c>
      <c r="I24" s="5" t="s">
        <v>40</v>
      </c>
      <c r="J24" s="5">
        <v>15</v>
      </c>
      <c r="K24" s="5">
        <v>24</v>
      </c>
      <c r="L24" s="7" t="s">
        <v>66</v>
      </c>
      <c r="M24" s="7" t="s">
        <v>64</v>
      </c>
      <c r="N24" s="7" t="s">
        <v>65</v>
      </c>
      <c r="O24" s="1">
        <v>5014</v>
      </c>
    </row>
  </sheetData>
  <dataValidations count="1">
    <dataValidation type="custom" allowBlank="1" showErrorMessage="1" errorTitle="拒绝重复输入" error="当前输入的内容，与本区域的其他单元格内容重复。" sqref="C3:O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四格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2026-09-28T07:25:10Z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49753340A1984F12891DFE701591940B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