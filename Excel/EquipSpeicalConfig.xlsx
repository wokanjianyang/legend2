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四格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<sst xmlns="http://schemas.openxmlformats.org/spreadsheetml/2006/main" count="105" uniqueCount="46">
  <si>
    <t>#</t>
  </si>
  <si>
    <t>ID</t>
  </si>
  <si>
    <t>Sid</t>
  </si>
  <si>
    <t>Cycle</t>
  </si>
  <si>
    <t>LevelRequired</t>
  </si>
  <si>
    <t>Part</t>
  </si>
  <si>
    <t>Quality</t>
  </si>
  <si>
    <t>Name</t>
  </si>
  <si>
    <t>StartLayer</t>
  </si>
  <si>
    <t>EndLayer</t>
  </si>
  <si>
    <t>AttrIdList</t>
  </si>
  <si>
    <t>AttrValueList</t>
  </si>
  <si>
    <t>AttrRiseList</t>
  </si>
  <si>
    <t>RecoveryItemId</t>
  </si>
  <si>
    <t>Id</t>
  </si>
  <si>
    <t>int</t>
  </si>
  <si>
    <t>string</t>
  </si>
  <si>
    <t>int[]</t>
  </si>
  <si>
    <t>double[]</t>
  </si>
  <si>
    <t>灵盾</t>
  </si>
  <si>
    <t>2,1002,22,2002</t>
  </si>
  <si>
    <t>100,5,2,1</t>
  </si>
  <si>
    <t>暴击</t>
  </si>
  <si>
    <t>灵符</t>
  </si>
  <si>
    <t>3,1003,24,2003</t>
  </si>
  <si>
    <t>致命</t>
  </si>
  <si>
    <t>灵玉</t>
  </si>
  <si>
    <t>3,1003,27,2003</t>
  </si>
  <si>
    <t>100,5,1,1</t>
  </si>
  <si>
    <t>增伤</t>
  </si>
  <si>
    <t>灵珠</t>
  </si>
  <si>
    <t>1,1001,28,2001</t>
  </si>
  <si>
    <t>2000,10,1,1</t>
  </si>
  <si>
    <t>减伤</t>
  </si>
  <si>
    <t>1000,35,15,7</t>
  </si>
  <si>
    <t>500,10,5,2</t>
  </si>
  <si>
    <t>1000,35,7,7</t>
  </si>
  <si>
    <t>500,10,2,2</t>
  </si>
  <si>
    <t>30000,70,7,7</t>
  </si>
  <si>
    <t>20000,20,2,2</t>
  </si>
  <si>
    <t>6000,90,45,20</t>
  </si>
  <si>
    <t>3000,15,10,5</t>
  </si>
  <si>
    <t>6000,90,20,20</t>
  </si>
  <si>
    <t>3000,15,5,5</t>
  </si>
  <si>
    <t>160000,180,20,20</t>
  </si>
  <si>
    <t>50000,30,5,5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</si>
</sst>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9"/>
  <sheetViews>
    <sheetView tabSelected="1" workbookViewId="0">
      <selection activeCell="I29" sqref="I29"/>
    </sheetView>
  </sheetViews>
  <sheetFormatPr defaultColWidth="9" defaultRowHeight="18" customHeight="1"/>
  <cols>
    <col min="1" max="1" width="6.875" style="2" customWidth="1"/>
    <col min="2" max="2" width="9" style="2"/>
    <col min="3" max="8" width="9.875" style="1" customWidth="1"/>
    <col min="9" max="9" width="15.25" style="1" customWidth="1"/>
    <col min="10" max="10" width="12.4166666666667" style="1" customWidth="1"/>
    <col min="11" max="11" width="13.5416666666667" style="1" customWidth="1"/>
    <col min="12" max="12" width="27.5833333333333" style="2" customWidth="1"/>
    <col min="13" max="13" width="17.25" style="2" customWidth="1"/>
    <col min="14" max="14" width="20.5" style="2" customWidth="1"/>
    <col min="15" max="15" width="13" style="3" customWidth="1"/>
    <col min="16" max="16375" width="9" style="2"/>
    <col min="16376" max="16384" width="9" style="1"/>
  </cols>
  <sheetData>
    <row r="1" s="1" customFormat="1" customHeight="1" spans="1:25 16376:16384">
      <c r="A1" s="2"/>
      <c r="B1" s="2"/>
      <c r="L1" s="2"/>
      <c r="M1" s="2"/>
      <c r="P1" s="1" t="s">
        <v>0</v>
      </c>
      <c r="T1" s="1" t="s">
        <v>0</v>
      </c>
      <c r="U1" s="1" t="s">
        <v>0</v>
      </c>
      <c r="V1" s="1" t="s">
        <v>0</v>
      </c>
      <c r="W1" s="1" t="s">
        <v>0</v>
      </c>
      <c r="X1" s="1" t="s">
        <v>0</v>
      </c>
      <c r="Y1" s="1" t="s">
        <v>0</v>
      </c>
    </row>
    <row r="2" s="1" customFormat="1" customHeight="1" spans="1:25 16376:16384">
      <c r="A2" s="2"/>
      <c r="B2" s="2"/>
      <c r="L2" s="2"/>
      <c r="M2" s="2"/>
      <c r="P2" s="1" t="s">
        <v>0</v>
      </c>
      <c r="T2" s="1" t="s">
        <v>0</v>
      </c>
      <c r="U2" s="1" t="s">
        <v>0</v>
      </c>
      <c r="V2" s="1" t="s">
        <v>0</v>
      </c>
      <c r="W2" s="1" t="s">
        <v>0</v>
      </c>
      <c r="X2" s="1" t="s">
        <v>0</v>
      </c>
      <c r="Y2" s="1" t="s">
        <v>0</v>
      </c>
    </row>
    <row r="3" s="1" customFormat="1" customHeight="1" spans="1:25 16376:16384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</row>
    <row r="4" s="1" customFormat="1" customHeight="1" spans="1:25 16376:16384">
      <c r="A4" s="2"/>
      <c r="B4" s="2"/>
      <c r="C4" s="4" t="s">
        <v>14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</row>
    <row r="5" s="1" customFormat="1" customHeight="1" spans="1:25 16376:16384">
      <c r="A5" s="2"/>
      <c r="B5" s="2"/>
      <c r="C5" s="4" t="s">
        <v>15</v>
      </c>
      <c r="D5" s="4" t="s">
        <v>15</v>
      </c>
      <c r="E5" s="4" t="s">
        <v>15</v>
      </c>
      <c r="F5" s="4" t="s">
        <v>15</v>
      </c>
      <c r="G5" s="4" t="s">
        <v>15</v>
      </c>
      <c r="H5" s="4" t="s">
        <v>15</v>
      </c>
      <c r="I5" s="4" t="s">
        <v>16</v>
      </c>
      <c r="J5" s="4" t="s">
        <v>15</v>
      </c>
      <c r="K5" s="4" t="s">
        <v>15</v>
      </c>
      <c r="L5" s="4" t="s">
        <v>17</v>
      </c>
      <c r="M5" s="4" t="s">
        <v>18</v>
      </c>
      <c r="N5" s="4" t="s">
        <v>18</v>
      </c>
      <c r="O5" s="4" t="s">
        <v>15</v>
      </c>
    </row>
    <row r="6" s="1" customFormat="1" customHeight="1" spans="1:25 16376:16384">
      <c r="C6" s="1">
        <v>1</v>
      </c>
      <c r="D6" s="1">
        <v>1</v>
      </c>
      <c r="E6" s="1">
        <v>101</v>
      </c>
      <c r="F6" s="1">
        <v>10</v>
      </c>
      <c r="G6" s="1">
        <v>1001</v>
      </c>
      <c r="H6" s="1">
        <v>2</v>
      </c>
      <c r="I6" s="5" t="s">
        <v>19</v>
      </c>
      <c r="J6" s="5">
        <v>0</v>
      </c>
      <c r="K6" s="5">
        <v>4</v>
      </c>
      <c r="L6" s="6" t="s">
        <v>20</v>
      </c>
      <c r="M6" s="6" t="s">
        <v>21</v>
      </c>
      <c r="N6" s="6" t="s">
        <v>21</v>
      </c>
      <c r="O6" s="1">
        <v>5011</v>
      </c>
      <c r="P6" s="1" t="s">
        <v>22</v>
      </c>
      <c r="T6" s="1">
        <v>2000</v>
      </c>
      <c r="U6" s="1">
        <v>100</v>
      </c>
      <c r="V6" s="1">
        <v>10</v>
      </c>
      <c r="W6" s="1">
        <v>5</v>
      </c>
      <c r="X6" s="1">
        <v>2</v>
      </c>
      <c r="Y6" s="1">
        <v>1</v>
      </c>
    </row>
    <row r="7" s="1" customFormat="1" customHeight="1" spans="1:25 16376:16384">
      <c r="C7" s="1">
        <v>2</v>
      </c>
      <c r="D7" s="1">
        <v>2</v>
      </c>
      <c r="E7" s="1">
        <v>101</v>
      </c>
      <c r="F7" s="1">
        <v>10</v>
      </c>
      <c r="G7" s="1">
        <v>1002</v>
      </c>
      <c r="H7" s="1">
        <v>2</v>
      </c>
      <c r="I7" s="5" t="s">
        <v>23</v>
      </c>
      <c r="J7" s="5">
        <v>0</v>
      </c>
      <c r="K7" s="5">
        <v>4</v>
      </c>
      <c r="L7" s="6" t="s">
        <v>24</v>
      </c>
      <c r="M7" s="6" t="s">
        <v>21</v>
      </c>
      <c r="N7" s="6" t="s">
        <v>21</v>
      </c>
      <c r="O7" s="1">
        <v>5012</v>
      </c>
      <c r="P7" s="1" t="s">
        <v>25</v>
      </c>
    </row>
    <row r="8" s="1" customFormat="1" customHeight="1" spans="1:25 16376:16384">
      <c r="C8" s="1">
        <v>3</v>
      </c>
      <c r="D8" s="1">
        <v>3</v>
      </c>
      <c r="E8" s="1">
        <v>101</v>
      </c>
      <c r="F8" s="1">
        <v>10</v>
      </c>
      <c r="G8" s="1">
        <v>1003</v>
      </c>
      <c r="H8" s="1">
        <v>2</v>
      </c>
      <c r="I8" s="5" t="s">
        <v>26</v>
      </c>
      <c r="J8" s="5">
        <v>0</v>
      </c>
      <c r="K8" s="5">
        <v>4</v>
      </c>
      <c r="L8" s="6" t="s">
        <v>27</v>
      </c>
      <c r="M8" s="6" t="s">
        <v>28</v>
      </c>
      <c r="N8" s="6" t="s">
        <v>28</v>
      </c>
      <c r="O8" s="1">
        <v>5013</v>
      </c>
      <c r="P8" s="1" t="s">
        <v>29</v>
      </c>
    </row>
    <row r="9" s="1" customFormat="1" customHeight="1" spans="1:25 16376:16384">
      <c r="C9" s="1">
        <v>4</v>
      </c>
      <c r="D9" s="1">
        <v>4</v>
      </c>
      <c r="E9" s="1">
        <v>101</v>
      </c>
      <c r="F9" s="1">
        <v>10</v>
      </c>
      <c r="G9" s="1">
        <v>1004</v>
      </c>
      <c r="H9" s="1">
        <v>2</v>
      </c>
      <c r="I9" s="5" t="s">
        <v>30</v>
      </c>
      <c r="J9" s="5">
        <v>0</v>
      </c>
      <c r="K9" s="5">
        <v>4</v>
      </c>
      <c r="L9" s="6" t="s">
        <v>31</v>
      </c>
      <c r="M9" s="6" t="s">
        <v>32</v>
      </c>
      <c r="N9" s="6" t="s">
        <v>32</v>
      </c>
      <c r="O9" s="1">
        <v>5014</v>
      </c>
      <c r="P9" s="1" t="s">
        <v>33</v>
      </c>
    </row>
    <row r="10" s="1" customFormat="1" customHeight="1" spans="1:25 16376:16384">
      <c r="I10" s="5"/>
      <c r="J10" s="5"/>
      <c r="K10" s="5"/>
      <c r="T10" s="2">
        <f t="shared" ref="T10:Y10" si="0">T6*5</f>
        <v>10000</v>
      </c>
      <c r="U10" s="2">
        <f t="shared" si="0"/>
        <v>500</v>
      </c>
      <c r="V10" s="2">
        <f t="shared" si="0"/>
        <v>50</v>
      </c>
      <c r="W10" s="2">
        <f t="shared" si="0"/>
        <v>25</v>
      </c>
      <c r="X10" s="2">
        <f t="shared" si="0"/>
        <v>10</v>
      </c>
      <c r="Y10" s="2">
        <f t="shared" si="0"/>
        <v>5</v>
      </c>
    </row>
    <row r="11" s="2" customFormat="1" customHeight="1" spans="1:25 16376:16384">
      <c r="C11" s="1">
        <v>5</v>
      </c>
      <c r="D11" s="1">
        <v>1</v>
      </c>
      <c r="E11" s="1">
        <v>101</v>
      </c>
      <c r="F11" s="1">
        <v>30</v>
      </c>
      <c r="G11" s="1">
        <v>1001</v>
      </c>
      <c r="H11" s="1">
        <v>3</v>
      </c>
      <c r="I11" s="5" t="s">
        <v>19</v>
      </c>
      <c r="J11" s="5">
        <v>5</v>
      </c>
      <c r="K11" s="5">
        <v>9</v>
      </c>
      <c r="L11" s="6" t="s">
        <v>20</v>
      </c>
      <c r="M11" s="6" t="s">
        <v>34</v>
      </c>
      <c r="N11" s="6" t="s">
        <v>35</v>
      </c>
      <c r="O11" s="1">
        <v>5011</v>
      </c>
      <c r="T11" s="2">
        <v>20000</v>
      </c>
      <c r="U11" s="2">
        <v>500</v>
      </c>
      <c r="V11" s="2">
        <v>20</v>
      </c>
      <c r="W11" s="2">
        <v>10</v>
      </c>
      <c r="X11" s="2">
        <v>5</v>
      </c>
      <c r="Y11" s="2">
        <v>2</v>
      </c>
      <c r="XEV11" s="1"/>
      <c r="XEW11" s="1"/>
      <c r="XEX11" s="1"/>
      <c r="XEY11" s="1"/>
      <c r="XEZ11" s="1"/>
      <c r="XFA11" s="1"/>
      <c r="XFB11" s="1"/>
      <c r="XFC11" s="1"/>
      <c r="XFD11" s="1"/>
    </row>
    <row r="12" s="2" customFormat="1" customHeight="1" spans="1:25 16376:16384">
      <c r="C12" s="1">
        <v>6</v>
      </c>
      <c r="D12" s="1">
        <v>2</v>
      </c>
      <c r="E12" s="1">
        <v>101</v>
      </c>
      <c r="F12" s="1">
        <v>30</v>
      </c>
      <c r="G12" s="1">
        <v>1002</v>
      </c>
      <c r="H12" s="1">
        <v>3</v>
      </c>
      <c r="I12" s="5" t="s">
        <v>23</v>
      </c>
      <c r="J12" s="5">
        <v>5</v>
      </c>
      <c r="K12" s="5">
        <v>9</v>
      </c>
      <c r="L12" s="6" t="s">
        <v>24</v>
      </c>
      <c r="M12" s="6" t="s">
        <v>34</v>
      </c>
      <c r="N12" s="6" t="s">
        <v>35</v>
      </c>
      <c r="O12" s="1">
        <v>5012</v>
      </c>
      <c r="T12" s="2">
        <f t="shared" ref="T12:Y12" si="1">T10+T11</f>
        <v>30000</v>
      </c>
      <c r="U12" s="2">
        <f t="shared" si="1"/>
        <v>1000</v>
      </c>
      <c r="V12" s="2">
        <f t="shared" si="1"/>
        <v>70</v>
      </c>
      <c r="W12" s="2">
        <f t="shared" si="1"/>
        <v>35</v>
      </c>
      <c r="X12" s="2">
        <f t="shared" si="1"/>
        <v>15</v>
      </c>
      <c r="Y12" s="2">
        <f t="shared" si="1"/>
        <v>7</v>
      </c>
      <c r="XEV12" s="1"/>
      <c r="XEW12" s="1"/>
      <c r="XEX12" s="1"/>
      <c r="XEY12" s="1"/>
      <c r="XEZ12" s="1"/>
      <c r="XFA12" s="1"/>
      <c r="XFB12" s="1"/>
      <c r="XFC12" s="1"/>
      <c r="XFD12" s="1"/>
    </row>
    <row r="13" s="2" customFormat="1" customHeight="1" spans="1:25 16376:16384">
      <c r="C13" s="1">
        <v>7</v>
      </c>
      <c r="D13" s="1">
        <v>3</v>
      </c>
      <c r="E13" s="1">
        <v>101</v>
      </c>
      <c r="F13" s="1">
        <v>30</v>
      </c>
      <c r="G13" s="1">
        <v>1003</v>
      </c>
      <c r="H13" s="1">
        <v>3</v>
      </c>
      <c r="I13" s="5" t="s">
        <v>26</v>
      </c>
      <c r="J13" s="5">
        <v>5</v>
      </c>
      <c r="K13" s="5">
        <v>9</v>
      </c>
      <c r="L13" s="6" t="s">
        <v>27</v>
      </c>
      <c r="M13" s="6" t="s">
        <v>36</v>
      </c>
      <c r="N13" s="6" t="s">
        <v>37</v>
      </c>
      <c r="O13" s="1">
        <v>5013</v>
      </c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customHeight="1" spans="1:25 16376:16384">
      <c r="C14" s="1">
        <v>8</v>
      </c>
      <c r="D14" s="1">
        <v>4</v>
      </c>
      <c r="E14" s="1">
        <v>101</v>
      </c>
      <c r="F14" s="1">
        <v>30</v>
      </c>
      <c r="G14" s="1">
        <v>1004</v>
      </c>
      <c r="H14" s="1">
        <v>3</v>
      </c>
      <c r="I14" s="5" t="s">
        <v>30</v>
      </c>
      <c r="J14" s="5">
        <v>5</v>
      </c>
      <c r="K14" s="5">
        <v>9</v>
      </c>
      <c r="L14" s="6" t="s">
        <v>31</v>
      </c>
      <c r="M14" s="6" t="s">
        <v>38</v>
      </c>
      <c r="N14" s="6" t="s">
        <v>39</v>
      </c>
      <c r="O14" s="1">
        <v>5014</v>
      </c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customHeight="1" spans="1:25 16376:16384">
      <c r="C15" s="1"/>
      <c r="D15" s="1"/>
      <c r="E15" s="1"/>
      <c r="F15" s="1"/>
      <c r="G15" s="1"/>
      <c r="H15" s="1"/>
      <c r="I15" s="5"/>
      <c r="J15" s="5"/>
      <c r="K15" s="5"/>
      <c r="L15" s="1"/>
      <c r="M15" s="1"/>
      <c r="N15" s="1"/>
      <c r="O15" s="1"/>
      <c r="T15" s="2">
        <f t="shared" ref="T15:Y15" si="2">T12+T11*4</f>
        <v>110000</v>
      </c>
      <c r="U15" s="2">
        <f t="shared" si="2"/>
        <v>3000</v>
      </c>
      <c r="V15" s="2">
        <f t="shared" si="2"/>
        <v>150</v>
      </c>
      <c r="W15" s="2">
        <f t="shared" si="2"/>
        <v>75</v>
      </c>
      <c r="X15" s="2">
        <f t="shared" si="2"/>
        <v>35</v>
      </c>
      <c r="Y15" s="2">
        <f t="shared" si="2"/>
        <v>15</v>
      </c>
      <c r="XEV15" s="1"/>
      <c r="XEW15" s="1"/>
      <c r="XEX15" s="1"/>
      <c r="XEY15" s="1"/>
      <c r="XEZ15" s="1"/>
      <c r="XFA15" s="1"/>
      <c r="XFB15" s="1"/>
      <c r="XFC15" s="1"/>
      <c r="XFD15" s="1"/>
    </row>
    <row r="16" customHeight="1" spans="1:25 16376:16384">
      <c r="C16" s="1">
        <v>9</v>
      </c>
      <c r="D16" s="1">
        <v>1</v>
      </c>
      <c r="E16" s="1">
        <v>101</v>
      </c>
      <c r="F16" s="1">
        <v>30</v>
      </c>
      <c r="G16" s="1">
        <v>1001</v>
      </c>
      <c r="H16" s="1">
        <v>4</v>
      </c>
      <c r="I16" s="5" t="s">
        <v>19</v>
      </c>
      <c r="J16" s="5">
        <v>10</v>
      </c>
      <c r="K16" s="5">
        <v>14</v>
      </c>
      <c r="L16" s="6" t="s">
        <v>20</v>
      </c>
      <c r="M16" s="6" t="s">
        <v>40</v>
      </c>
      <c r="N16" s="6" t="s">
        <v>41</v>
      </c>
      <c r="O16" s="1">
        <v>5011</v>
      </c>
      <c r="T16" s="2">
        <v>50000</v>
      </c>
      <c r="U16" s="2">
        <v>3000</v>
      </c>
      <c r="V16" s="2">
        <v>30</v>
      </c>
      <c r="W16" s="2">
        <v>15</v>
      </c>
      <c r="X16" s="2">
        <v>10</v>
      </c>
      <c r="Y16" s="2">
        <v>5</v>
      </c>
    </row>
    <row r="17" customHeight="1" spans="3:25">
      <c r="C17" s="1">
        <v>10</v>
      </c>
      <c r="D17" s="1">
        <v>2</v>
      </c>
      <c r="E17" s="1">
        <v>101</v>
      </c>
      <c r="F17" s="1">
        <v>30</v>
      </c>
      <c r="G17" s="1">
        <v>1002</v>
      </c>
      <c r="H17" s="1">
        <v>4</v>
      </c>
      <c r="I17" s="5" t="s">
        <v>23</v>
      </c>
      <c r="J17" s="5">
        <v>10</v>
      </c>
      <c r="K17" s="5">
        <v>14</v>
      </c>
      <c r="L17" s="6" t="s">
        <v>24</v>
      </c>
      <c r="M17" s="6" t="s">
        <v>40</v>
      </c>
      <c r="N17" s="6" t="s">
        <v>41</v>
      </c>
      <c r="O17" s="1">
        <v>5012</v>
      </c>
      <c r="T17" s="2">
        <f t="shared" ref="T17:Y17" si="3">T15+T16</f>
        <v>160000</v>
      </c>
      <c r="U17" s="2">
        <f t="shared" si="3"/>
        <v>6000</v>
      </c>
      <c r="V17" s="2">
        <f t="shared" si="3"/>
        <v>180</v>
      </c>
      <c r="W17" s="2">
        <f t="shared" si="3"/>
        <v>90</v>
      </c>
      <c r="X17" s="2">
        <f t="shared" si="3"/>
        <v>45</v>
      </c>
      <c r="Y17" s="2">
        <f t="shared" si="3"/>
        <v>20</v>
      </c>
    </row>
    <row r="18" customHeight="1" spans="3:25">
      <c r="C18" s="1">
        <v>11</v>
      </c>
      <c r="D18" s="1">
        <v>3</v>
      </c>
      <c r="E18" s="1">
        <v>101</v>
      </c>
      <c r="F18" s="1">
        <v>30</v>
      </c>
      <c r="G18" s="1">
        <v>1003</v>
      </c>
      <c r="H18" s="1">
        <v>4</v>
      </c>
      <c r="I18" s="5" t="s">
        <v>26</v>
      </c>
      <c r="J18" s="5">
        <v>10</v>
      </c>
      <c r="K18" s="5">
        <v>14</v>
      </c>
      <c r="L18" s="6" t="s">
        <v>27</v>
      </c>
      <c r="M18" s="6" t="s">
        <v>42</v>
      </c>
      <c r="N18" s="6" t="s">
        <v>43</v>
      </c>
      <c r="O18" s="1">
        <v>5013</v>
      </c>
    </row>
    <row r="19" customHeight="1" spans="3:25">
      <c r="C19" s="1">
        <v>12</v>
      </c>
      <c r="D19" s="1">
        <v>4</v>
      </c>
      <c r="E19" s="1">
        <v>101</v>
      </c>
      <c r="F19" s="1">
        <v>30</v>
      </c>
      <c r="G19" s="1">
        <v>1004</v>
      </c>
      <c r="H19" s="1">
        <v>4</v>
      </c>
      <c r="I19" s="5" t="s">
        <v>30</v>
      </c>
      <c r="J19" s="5">
        <v>10</v>
      </c>
      <c r="K19" s="5">
        <v>14</v>
      </c>
      <c r="L19" s="6" t="s">
        <v>31</v>
      </c>
      <c r="M19" s="6" t="s">
        <v>44</v>
      </c>
      <c r="N19" s="6" t="s">
        <v>45</v>
      </c>
      <c r="O19" s="1">
        <v>5014</v>
      </c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四格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2026-06-23T02:08:06Z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