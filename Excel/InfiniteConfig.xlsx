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<sst xmlns="http://schemas.openxmlformats.org/spreadsheetml/2006/main" count="88" uniqueCount="35">
  <si>
    <t>#</t>
  </si>
  <si>
    <t>ID</t>
  </si>
  <si>
    <t>StartLevel</t>
  </si>
  <si>
    <t>EndLevel</t>
  </si>
  <si>
    <t>Atk</t>
  </si>
  <si>
    <t>RiseAtk</t>
  </si>
  <si>
    <t>Def</t>
  </si>
  <si>
    <t>RiseDef</t>
  </si>
  <si>
    <t>Hp</t>
  </si>
  <si>
    <t>RiseHp</t>
  </si>
  <si>
    <t>Speed</t>
  </si>
  <si>
    <t>DamageIncrea</t>
  </si>
  <si>
    <t>DamageResist</t>
  </si>
  <si>
    <t>CritRate</t>
  </si>
  <si>
    <t>CritDamage</t>
  </si>
  <si>
    <t>Accuracy</t>
  </si>
  <si>
    <t>Miss</t>
  </si>
  <si>
    <t>MulDamageIncrea</t>
  </si>
  <si>
    <t>MulDamageResist</t>
  </si>
  <si>
    <t>Exp</t>
  </si>
  <si>
    <t>Gold</t>
  </si>
  <si>
    <t>Id</t>
  </si>
  <si>
    <t>int</t>
  </si>
  <si>
    <t>string</t>
  </si>
  <si>
    <t>double</t>
  </si>
  <si>
    <t>1E+5</t>
  </si>
  <si>
    <t>5E+5</t>
  </si>
  <si>
    <t>1E+7</t>
  </si>
  <si>
    <t>1.0423</t>
  </si>
  <si>
    <t>1E+8</t>
  </si>
  <si>
    <t>5E+8</t>
  </si>
  <si>
    <t>4E+10</t>
  </si>
  <si>
    <t>1E+11</t>
  </si>
  <si>
    <t>5E+11</t>
  </si>
  <si>
    <t>16E+13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</si>
</sst>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6897BB"/>
      <name val="Consolas"/>
      <charset val="134"/>
    </font>
    <font>
      <sz val="9"/>
      <color theme="3" tint="0.6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1" fillId="0" borderId="0" xfId="0" applyFont="1" applyFill="1"/>
    <xf numFmtId="0" fontId="1" fillId="0" borderId="0" xfId="0" applyNumberFormat="1" applyFont="1" applyFill="1" applyAlignment="1">
      <alignment horizontal="left"/>
    </xf>
    <xf numFmtId="0" fontId="3" fillId="0" borderId="0" xfId="0" applyFont="1"/>
    <xf numFmtId="0" fontId="1" fillId="0" borderId="0" xfId="0" applyNumberFormat="1" applyFont="1" applyFill="1"/>
    <xf numFmtId="176" fontId="1" fillId="0" borderId="0" xfId="0" applyNumberFormat="1" applyFont="1" applyFill="1" applyAlignment="1">
      <alignment horizontal="left"/>
    </xf>
    <xf numFmtId="0" fontId="1" fillId="3" borderId="0" xfId="0" applyFont="1" applyFill="1"/>
    <xf numFmtId="0" fontId="4" fillId="0" borderId="0" xfId="0" applyFont="1"/>
    <xf numFmtId="0" fontId="1" fillId="0" borderId="0" xfId="0" applyNumberFormat="1" applyFont="1" applyFill="1" applyAlignment="1" quotePrefix="1">
      <alignment horizontal="left"/>
    </xf>
    <xf numFmtId="0" fontId="3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5"/>
  <sheetViews>
    <sheetView tabSelected="1" workbookViewId="0">
      <pane ySplit="5" topLeftCell="A6" activePane="bottomLeft" state="frozen"/>
      <selection/>
      <selection pane="bottomLeft" activeCell="H24" sqref="H24"/>
    </sheetView>
  </sheetViews>
  <sheetFormatPr defaultColWidth="9" defaultRowHeight="24" customHeight="1"/>
  <cols>
    <col min="1" max="1" width="6.83333333333333" style="2" customWidth="1"/>
    <col min="2" max="2" width="6.25" style="2" customWidth="1"/>
    <col min="3" max="3" width="3.125" style="1" customWidth="1"/>
    <col min="4" max="4" width="13.1666666666667" style="1" customWidth="1"/>
    <col min="5" max="5" width="11.6666666666667" style="1" customWidth="1"/>
    <col min="6" max="6" width="14.9166666666667" style="3" customWidth="1"/>
    <col min="7" max="7" width="8.41666666666667" style="3" customWidth="1"/>
    <col min="8" max="8" width="10.3333333333333" style="3" customWidth="1"/>
    <col min="9" max="9" width="10.1666666666667" style="3" customWidth="1"/>
    <col min="10" max="10" width="12.1666666666667" style="3" customWidth="1"/>
    <col min="11" max="11" width="9.58333333333333" style="3" customWidth="1"/>
    <col min="12" max="12" width="10.25" style="2" customWidth="1"/>
    <col min="13" max="14" width="12.5833333333333" style="2" customWidth="1"/>
    <col min="15" max="15" width="9.16666666666667" style="2" customWidth="1"/>
    <col min="16" max="16" width="11.75" style="2" customWidth="1"/>
    <col min="17" max="17" width="7" style="2" customWidth="1"/>
    <col min="18" max="18" width="9.91666666666667" style="2" customWidth="1"/>
    <col min="19" max="19" width="16" style="3" customWidth="1"/>
    <col min="20" max="20" width="13.9166666666667" style="2" customWidth="1"/>
    <col min="21" max="21" width="19.7916666666667" style="2" customWidth="1"/>
    <col min="22" max="22" width="17.6583333333333" style="2" customWidth="1"/>
    <col min="23" max="16384" width="9" style="2"/>
  </cols>
  <sheetData>
    <row r="1" s="1" customFormat="1" customHeight="1" spans="1:23">
      <c r="A1" s="2"/>
      <c r="B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 t="s">
        <v>0</v>
      </c>
    </row>
    <row r="2" s="1" customFormat="1" customHeight="1" spans="1:23">
      <c r="A2" s="2"/>
      <c r="B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 t="s">
        <v>0</v>
      </c>
    </row>
    <row r="3" s="1" customFormat="1" customHeight="1" spans="1:23">
      <c r="A3" s="2"/>
      <c r="B3" s="2"/>
      <c r="C3" s="4" t="s">
        <v>1</v>
      </c>
      <c r="D3" s="4" t="s">
        <v>2</v>
      </c>
      <c r="E3" s="4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5" t="s">
        <v>19</v>
      </c>
      <c r="V3" s="5" t="s">
        <v>20</v>
      </c>
    </row>
    <row r="4" s="1" customFormat="1" customHeight="1" spans="1:23">
      <c r="A4" s="2"/>
      <c r="B4" s="2"/>
      <c r="C4" s="4" t="s">
        <v>21</v>
      </c>
      <c r="D4" s="4" t="s">
        <v>2</v>
      </c>
      <c r="E4" s="4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5" t="s">
        <v>19</v>
      </c>
      <c r="V4" s="5" t="s">
        <v>20</v>
      </c>
    </row>
    <row r="5" s="1" customFormat="1" customHeight="1" spans="1:23">
      <c r="A5" s="2"/>
      <c r="B5" s="2"/>
      <c r="C5" s="4" t="s">
        <v>22</v>
      </c>
      <c r="D5" s="4" t="s">
        <v>22</v>
      </c>
      <c r="E5" s="4" t="s">
        <v>22</v>
      </c>
      <c r="F5" s="5" t="s">
        <v>23</v>
      </c>
      <c r="G5" s="5" t="s">
        <v>24</v>
      </c>
      <c r="H5" s="5" t="s">
        <v>23</v>
      </c>
      <c r="I5" s="5" t="s">
        <v>24</v>
      </c>
      <c r="J5" s="5" t="s">
        <v>23</v>
      </c>
      <c r="K5" s="5" t="s">
        <v>24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 t="s">
        <v>22</v>
      </c>
      <c r="S5" s="4" t="s">
        <v>22</v>
      </c>
      <c r="T5" s="4" t="s">
        <v>22</v>
      </c>
      <c r="U5" s="5" t="s">
        <v>24</v>
      </c>
      <c r="V5" s="5" t="s">
        <v>24</v>
      </c>
    </row>
    <row r="6" customHeight="1" spans="1:23">
      <c r="C6" s="1">
        <v>1</v>
      </c>
      <c r="D6" s="6">
        <v>1</v>
      </c>
      <c r="E6" s="6">
        <v>200</v>
      </c>
      <c r="F6" s="13" t="s">
        <v>25</v>
      </c>
      <c r="G6" s="7">
        <v>1.0351</v>
      </c>
      <c r="H6" s="13" t="s">
        <v>26</v>
      </c>
      <c r="I6" s="7">
        <v>1.0351</v>
      </c>
      <c r="J6" s="13" t="s">
        <v>27</v>
      </c>
      <c r="K6" s="14" t="s">
        <v>28</v>
      </c>
      <c r="L6" s="9">
        <v>10</v>
      </c>
      <c r="M6" s="9">
        <v>30</v>
      </c>
      <c r="N6" s="9">
        <v>10</v>
      </c>
      <c r="O6" s="9">
        <v>10</v>
      </c>
      <c r="P6" s="9">
        <v>100</v>
      </c>
      <c r="Q6" s="9">
        <v>10</v>
      </c>
      <c r="R6" s="9">
        <v>10</v>
      </c>
      <c r="S6" s="7">
        <v>0</v>
      </c>
      <c r="T6" s="9">
        <f t="shared" ref="T6:T15" si="0">W6*10</f>
        <v>10</v>
      </c>
      <c r="U6" s="10">
        <f t="shared" ref="U6:U15" si="1">W6*50000</f>
        <v>50000</v>
      </c>
      <c r="V6" s="10">
        <f t="shared" ref="V6:V15" si="2">W6*50000</f>
        <v>50000</v>
      </c>
      <c r="W6" s="2">
        <v>1</v>
      </c>
    </row>
    <row r="7" customHeight="1" spans="1:23">
      <c r="C7" s="1">
        <v>2</v>
      </c>
      <c r="D7" s="1">
        <f t="shared" ref="D7:D65" si="3">E6+1</f>
        <v>201</v>
      </c>
      <c r="E7" s="1">
        <f t="shared" ref="E7:E15" si="4">E6+200</f>
        <v>400</v>
      </c>
      <c r="F7" s="13" t="s">
        <v>29</v>
      </c>
      <c r="G7" s="7">
        <v>1.0351</v>
      </c>
      <c r="H7" s="13" t="s">
        <v>30</v>
      </c>
      <c r="I7" s="7">
        <v>1.0351</v>
      </c>
      <c r="J7" s="13" t="s">
        <v>31</v>
      </c>
      <c r="K7" s="14" t="s">
        <v>28</v>
      </c>
      <c r="L7" s="9">
        <f>L6+10</f>
        <v>20</v>
      </c>
      <c r="M7" s="9">
        <f t="shared" ref="M7:M15" si="5">M6+30</f>
        <v>60</v>
      </c>
      <c r="N7" s="9">
        <f t="shared" ref="N7:N15" si="6">N6+10</f>
        <v>20</v>
      </c>
      <c r="O7" s="9">
        <f t="shared" ref="O7:O15" si="7">O6+10</f>
        <v>20</v>
      </c>
      <c r="P7" s="9">
        <v>200</v>
      </c>
      <c r="Q7" s="9">
        <f t="shared" ref="Q7:Q15" si="8">Q6+10</f>
        <v>20</v>
      </c>
      <c r="R7" s="9">
        <f t="shared" ref="R7:R15" si="9">R6+10</f>
        <v>20</v>
      </c>
      <c r="S7" s="7">
        <v>0</v>
      </c>
      <c r="T7" s="9">
        <f t="shared" si="0"/>
        <v>20</v>
      </c>
      <c r="U7" s="10">
        <f t="shared" si="1"/>
        <v>100000</v>
      </c>
      <c r="V7" s="10">
        <f t="shared" si="2"/>
        <v>100000</v>
      </c>
      <c r="W7" s="2">
        <v>2</v>
      </c>
    </row>
    <row r="8" customHeight="1" spans="1:23">
      <c r="C8" s="1">
        <v>3</v>
      </c>
      <c r="D8" s="1">
        <f t="shared" si="3"/>
        <v>401</v>
      </c>
      <c r="E8" s="1">
        <f t="shared" si="4"/>
        <v>600</v>
      </c>
      <c r="F8" s="13" t="s">
        <v>32</v>
      </c>
      <c r="G8" s="7">
        <v>1.0351</v>
      </c>
      <c r="H8" s="13" t="s">
        <v>33</v>
      </c>
      <c r="I8" s="7">
        <v>1.0351</v>
      </c>
      <c r="J8" s="13" t="s">
        <v>34</v>
      </c>
      <c r="K8" s="14" t="s">
        <v>28</v>
      </c>
      <c r="L8" s="9">
        <f>L7+10</f>
        <v>30</v>
      </c>
      <c r="M8" s="9">
        <f t="shared" si="5"/>
        <v>90</v>
      </c>
      <c r="N8" s="9">
        <f t="shared" si="6"/>
        <v>30</v>
      </c>
      <c r="O8" s="9">
        <f t="shared" si="7"/>
        <v>30</v>
      </c>
      <c r="P8" s="9">
        <v>300</v>
      </c>
      <c r="Q8" s="9">
        <f t="shared" si="8"/>
        <v>30</v>
      </c>
      <c r="R8" s="9">
        <f t="shared" si="9"/>
        <v>30</v>
      </c>
      <c r="S8" s="7">
        <v>0</v>
      </c>
      <c r="T8" s="9">
        <f t="shared" si="0"/>
        <v>30</v>
      </c>
      <c r="U8" s="10">
        <f t="shared" si="1"/>
        <v>150000</v>
      </c>
      <c r="V8" s="10">
        <f t="shared" si="2"/>
        <v>150000</v>
      </c>
      <c r="W8" s="2">
        <v>3</v>
      </c>
    </row>
    <row r="9" customHeight="1" spans="1:23">
      <c r="A9" s="2" t="s">
        <v>0</v>
      </c>
      <c r="B9" s="2" t="s">
        <v>0</v>
      </c>
      <c r="C9" s="1">
        <v>4</v>
      </c>
      <c r="D9" s="1">
        <f t="shared" si="3"/>
        <v>601</v>
      </c>
      <c r="E9" s="1">
        <f t="shared" si="4"/>
        <v>800</v>
      </c>
      <c r="F9" s="7"/>
      <c r="G9" s="7"/>
      <c r="H9" s="7"/>
      <c r="I9" s="7"/>
      <c r="J9" s="7"/>
      <c r="K9" s="7"/>
      <c r="L9" s="1">
        <v>0</v>
      </c>
      <c r="M9" s="9">
        <f t="shared" si="5"/>
        <v>120</v>
      </c>
      <c r="N9" s="9">
        <f t="shared" si="6"/>
        <v>40</v>
      </c>
      <c r="O9" s="9">
        <f t="shared" si="7"/>
        <v>40</v>
      </c>
      <c r="P9" s="9">
        <v>400</v>
      </c>
      <c r="Q9" s="9">
        <f t="shared" si="8"/>
        <v>40</v>
      </c>
      <c r="R9" s="9">
        <f t="shared" si="9"/>
        <v>40</v>
      </c>
      <c r="S9" s="7">
        <v>0</v>
      </c>
      <c r="T9" s="9">
        <f t="shared" si="0"/>
        <v>40</v>
      </c>
      <c r="U9" s="10">
        <f t="shared" si="1"/>
        <v>200000</v>
      </c>
      <c r="V9" s="10">
        <f t="shared" si="2"/>
        <v>200000</v>
      </c>
      <c r="W9" s="2">
        <v>4</v>
      </c>
    </row>
    <row r="10" customHeight="1" spans="1:23">
      <c r="A10" s="2" t="s">
        <v>0</v>
      </c>
      <c r="B10" s="2" t="s">
        <v>0</v>
      </c>
      <c r="C10" s="1">
        <v>5</v>
      </c>
      <c r="D10" s="1">
        <f t="shared" si="3"/>
        <v>801</v>
      </c>
      <c r="E10" s="1">
        <f t="shared" si="4"/>
        <v>1000</v>
      </c>
      <c r="F10" s="7"/>
      <c r="G10" s="7"/>
      <c r="H10" s="7"/>
      <c r="I10" s="7"/>
      <c r="J10" s="7"/>
      <c r="K10" s="7"/>
      <c r="L10" s="1">
        <v>0</v>
      </c>
      <c r="M10" s="9">
        <f t="shared" si="5"/>
        <v>150</v>
      </c>
      <c r="N10" s="9">
        <f t="shared" si="6"/>
        <v>50</v>
      </c>
      <c r="O10" s="9">
        <f t="shared" si="7"/>
        <v>50</v>
      </c>
      <c r="P10" s="9">
        <v>500</v>
      </c>
      <c r="Q10" s="9">
        <f t="shared" si="8"/>
        <v>50</v>
      </c>
      <c r="R10" s="9">
        <f t="shared" si="9"/>
        <v>50</v>
      </c>
      <c r="S10" s="7">
        <v>0</v>
      </c>
      <c r="T10" s="9">
        <f t="shared" si="0"/>
        <v>50</v>
      </c>
      <c r="U10" s="10">
        <f t="shared" si="1"/>
        <v>250000</v>
      </c>
      <c r="V10" s="10">
        <f t="shared" si="2"/>
        <v>250000</v>
      </c>
      <c r="W10" s="2">
        <v>5</v>
      </c>
    </row>
    <row r="11" customHeight="1" spans="1:23">
      <c r="A11" s="2" t="s">
        <v>0</v>
      </c>
      <c r="B11" s="2" t="s">
        <v>0</v>
      </c>
      <c r="C11" s="1">
        <v>6</v>
      </c>
      <c r="D11" s="1">
        <f t="shared" si="3"/>
        <v>1001</v>
      </c>
      <c r="E11" s="1">
        <f t="shared" si="4"/>
        <v>1200</v>
      </c>
      <c r="F11" s="7"/>
      <c r="G11" s="7"/>
      <c r="H11" s="7"/>
      <c r="I11" s="7"/>
      <c r="J11" s="7"/>
      <c r="K11" s="7"/>
      <c r="L11" s="1">
        <v>0</v>
      </c>
      <c r="M11" s="9">
        <f t="shared" si="5"/>
        <v>180</v>
      </c>
      <c r="N11" s="9">
        <f t="shared" si="6"/>
        <v>60</v>
      </c>
      <c r="O11" s="9">
        <f t="shared" si="7"/>
        <v>60</v>
      </c>
      <c r="P11" s="9">
        <v>600</v>
      </c>
      <c r="Q11" s="9">
        <f t="shared" si="8"/>
        <v>60</v>
      </c>
      <c r="R11" s="9">
        <f t="shared" si="9"/>
        <v>60</v>
      </c>
      <c r="S11" s="7">
        <v>0</v>
      </c>
      <c r="T11" s="9">
        <f t="shared" si="0"/>
        <v>60</v>
      </c>
      <c r="U11" s="10">
        <f t="shared" si="1"/>
        <v>300000</v>
      </c>
      <c r="V11" s="10">
        <f t="shared" si="2"/>
        <v>300000</v>
      </c>
      <c r="W11" s="2">
        <v>6</v>
      </c>
    </row>
    <row r="12" customHeight="1" spans="1:23">
      <c r="A12" s="2" t="s">
        <v>0</v>
      </c>
      <c r="B12" s="2" t="s">
        <v>0</v>
      </c>
      <c r="C12" s="1">
        <v>7</v>
      </c>
      <c r="D12" s="1">
        <f t="shared" si="3"/>
        <v>1201</v>
      </c>
      <c r="E12" s="1">
        <f t="shared" si="4"/>
        <v>1400</v>
      </c>
      <c r="F12" s="7"/>
      <c r="G12" s="7"/>
      <c r="H12" s="7"/>
      <c r="I12" s="7"/>
      <c r="J12" s="7"/>
      <c r="K12" s="7"/>
      <c r="L12" s="1">
        <v>0</v>
      </c>
      <c r="M12" s="9">
        <f t="shared" si="5"/>
        <v>210</v>
      </c>
      <c r="N12" s="9">
        <f t="shared" si="6"/>
        <v>70</v>
      </c>
      <c r="O12" s="9">
        <f t="shared" si="7"/>
        <v>70</v>
      </c>
      <c r="P12" s="9">
        <v>700</v>
      </c>
      <c r="Q12" s="9">
        <f t="shared" si="8"/>
        <v>70</v>
      </c>
      <c r="R12" s="9">
        <f t="shared" si="9"/>
        <v>70</v>
      </c>
      <c r="S12" s="7">
        <v>0</v>
      </c>
      <c r="T12" s="9">
        <f t="shared" si="0"/>
        <v>70</v>
      </c>
      <c r="U12" s="10">
        <f t="shared" si="1"/>
        <v>350000</v>
      </c>
      <c r="V12" s="10">
        <f t="shared" si="2"/>
        <v>350000</v>
      </c>
      <c r="W12" s="2">
        <v>7</v>
      </c>
    </row>
    <row r="13" customHeight="1" spans="1:23">
      <c r="A13" s="2" t="s">
        <v>0</v>
      </c>
      <c r="B13" s="2" t="s">
        <v>0</v>
      </c>
      <c r="C13" s="1">
        <v>8</v>
      </c>
      <c r="D13" s="1">
        <f t="shared" si="3"/>
        <v>1401</v>
      </c>
      <c r="E13" s="1">
        <f t="shared" si="4"/>
        <v>1600</v>
      </c>
      <c r="F13" s="7"/>
      <c r="G13" s="7"/>
      <c r="H13" s="7"/>
      <c r="I13" s="7"/>
      <c r="J13" s="7"/>
      <c r="K13" s="7"/>
      <c r="L13" s="1">
        <v>0</v>
      </c>
      <c r="M13" s="9">
        <f t="shared" si="5"/>
        <v>240</v>
      </c>
      <c r="N13" s="9">
        <f t="shared" si="6"/>
        <v>80</v>
      </c>
      <c r="O13" s="9">
        <f t="shared" si="7"/>
        <v>80</v>
      </c>
      <c r="P13" s="9">
        <v>800</v>
      </c>
      <c r="Q13" s="9">
        <f t="shared" si="8"/>
        <v>80</v>
      </c>
      <c r="R13" s="9">
        <f t="shared" si="9"/>
        <v>80</v>
      </c>
      <c r="S13" s="7">
        <v>0</v>
      </c>
      <c r="T13" s="9">
        <f t="shared" si="0"/>
        <v>80</v>
      </c>
      <c r="U13" s="10">
        <f t="shared" si="1"/>
        <v>400000</v>
      </c>
      <c r="V13" s="10">
        <f t="shared" si="2"/>
        <v>400000</v>
      </c>
      <c r="W13" s="2">
        <v>8</v>
      </c>
    </row>
    <row r="14" customHeight="1" spans="1:23">
      <c r="A14" s="2" t="s">
        <v>0</v>
      </c>
      <c r="B14" s="2" t="s">
        <v>0</v>
      </c>
      <c r="C14" s="1">
        <v>9</v>
      </c>
      <c r="D14" s="1">
        <f t="shared" si="3"/>
        <v>1601</v>
      </c>
      <c r="E14" s="1">
        <f t="shared" si="4"/>
        <v>1800</v>
      </c>
      <c r="L14" s="1">
        <v>0</v>
      </c>
      <c r="M14" s="9">
        <f t="shared" si="5"/>
        <v>270</v>
      </c>
      <c r="N14" s="9">
        <f t="shared" si="6"/>
        <v>90</v>
      </c>
      <c r="O14" s="9">
        <f t="shared" si="7"/>
        <v>90</v>
      </c>
      <c r="P14" s="9">
        <v>900</v>
      </c>
      <c r="Q14" s="9">
        <f t="shared" si="8"/>
        <v>90</v>
      </c>
      <c r="R14" s="9">
        <f t="shared" si="9"/>
        <v>90</v>
      </c>
      <c r="S14" s="7">
        <v>0</v>
      </c>
      <c r="T14" s="9">
        <f t="shared" si="0"/>
        <v>90</v>
      </c>
      <c r="U14" s="10">
        <f t="shared" si="1"/>
        <v>450000</v>
      </c>
      <c r="V14" s="10">
        <f t="shared" si="2"/>
        <v>450000</v>
      </c>
      <c r="W14" s="2">
        <v>9</v>
      </c>
    </row>
    <row r="15" customHeight="1" spans="1:23">
      <c r="A15" s="2" t="s">
        <v>0</v>
      </c>
      <c r="B15" s="2" t="s">
        <v>0</v>
      </c>
      <c r="C15" s="1">
        <v>10</v>
      </c>
      <c r="D15" s="1">
        <f t="shared" si="3"/>
        <v>1801</v>
      </c>
      <c r="E15" s="1">
        <f t="shared" si="4"/>
        <v>2000</v>
      </c>
      <c r="L15" s="1">
        <v>0</v>
      </c>
      <c r="M15" s="9">
        <f t="shared" si="5"/>
        <v>300</v>
      </c>
      <c r="N15" s="9">
        <f t="shared" si="6"/>
        <v>100</v>
      </c>
      <c r="O15" s="9">
        <f t="shared" si="7"/>
        <v>100</v>
      </c>
      <c r="P15" s="9">
        <v>1000</v>
      </c>
      <c r="Q15" s="9">
        <f t="shared" si="8"/>
        <v>100</v>
      </c>
      <c r="R15" s="9">
        <f t="shared" si="9"/>
        <v>100</v>
      </c>
      <c r="S15" s="7">
        <v>0</v>
      </c>
      <c r="T15" s="9">
        <f t="shared" si="0"/>
        <v>100</v>
      </c>
      <c r="U15" s="10">
        <f t="shared" si="1"/>
        <v>500000</v>
      </c>
      <c r="V15" s="10">
        <f t="shared" si="2"/>
        <v>500000</v>
      </c>
      <c r="W15" s="2">
        <v>10</v>
      </c>
    </row>
    <row r="16" customHeight="1" spans="1:23">
      <c r="L16" s="1"/>
    </row>
    <row r="17" customHeight="1" spans="12:12">
      <c r="L17" s="1"/>
    </row>
    <row r="18" customHeight="1" spans="12:12">
      <c r="L18" s="1"/>
    </row>
    <row r="19" customHeight="1" spans="12:12">
      <c r="L19" s="1"/>
    </row>
    <row r="20" customHeight="1" spans="12:12">
      <c r="L20" s="1"/>
    </row>
    <row r="21" customHeight="1" spans="12:12">
      <c r="L21" s="1"/>
    </row>
    <row r="22" customHeight="1" spans="12:12">
      <c r="L22" s="1"/>
    </row>
    <row r="23" customHeight="1" spans="12:12">
      <c r="L23" s="1"/>
    </row>
    <row r="24" customHeight="1" spans="12:12">
      <c r="L24" s="1"/>
    </row>
    <row r="25" customHeight="1" spans="12:12">
      <c r="L25" s="1"/>
    </row>
    <row r="26" customHeight="1" spans="12:12">
      <c r="L26" s="1"/>
    </row>
    <row r="27" customHeight="1" spans="12:12">
      <c r="L27" s="1"/>
    </row>
    <row r="28" customHeight="1" spans="12:12">
      <c r="L28" s="1"/>
    </row>
    <row r="29" customHeight="1" spans="12:12">
      <c r="L29" s="1"/>
    </row>
    <row r="30" customHeight="1" spans="12:12">
      <c r="L30" s="1"/>
    </row>
    <row r="31" customHeight="1" spans="12:12">
      <c r="L31" s="1"/>
    </row>
    <row r="32" customHeight="1" spans="12:12">
      <c r="L32" s="1"/>
    </row>
    <row r="33" customHeight="1" spans="12:12">
      <c r="L33" s="1"/>
    </row>
    <row r="34" customHeight="1" spans="12:12">
      <c r="L34" s="1"/>
    </row>
    <row r="35" customHeight="1" spans="12:12">
      <c r="L35" s="1"/>
    </row>
    <row r="36" customHeight="1" spans="12:12">
      <c r="L36" s="1"/>
    </row>
    <row r="37" customHeight="1" spans="12:12">
      <c r="L37" s="1"/>
    </row>
    <row r="38" customHeight="1" spans="12:12">
      <c r="L38" s="1"/>
    </row>
    <row r="39" customHeight="1" spans="12:12">
      <c r="L39" s="1"/>
    </row>
    <row r="40" customHeight="1" spans="12:12">
      <c r="L40" s="1"/>
    </row>
    <row r="41" customHeight="1" spans="12:12">
      <c r="L41" s="1"/>
    </row>
    <row r="42" customHeight="1" spans="12:12">
      <c r="L42" s="1"/>
    </row>
    <row r="43" customHeight="1" spans="12:12">
      <c r="L43" s="1"/>
    </row>
    <row r="44" customHeight="1" spans="12:12">
      <c r="L44" s="1"/>
    </row>
    <row r="45" customHeight="1" spans="12:12">
      <c r="L45" s="1"/>
    </row>
    <row r="46" customHeight="1" spans="12:12">
      <c r="L46" s="1"/>
    </row>
    <row r="47" customHeight="1" spans="12:12">
      <c r="L47" s="1"/>
    </row>
    <row r="48" customHeight="1" spans="12:12">
      <c r="L48" s="1"/>
    </row>
    <row r="49" customHeight="1" spans="12:12">
      <c r="L49" s="1"/>
    </row>
    <row r="50" customHeight="1" spans="12:12">
      <c r="L50" s="1"/>
    </row>
    <row r="51" customHeight="1" spans="12:12">
      <c r="L51" s="1"/>
    </row>
    <row r="52" customHeight="1" spans="12:12">
      <c r="L52" s="1"/>
    </row>
    <row r="53" customHeight="1" spans="12:12">
      <c r="L53" s="1"/>
    </row>
    <row r="54" customHeight="1" spans="12:12">
      <c r="L54" s="1"/>
    </row>
    <row r="55" customHeight="1" spans="12:12">
      <c r="L55" s="1"/>
    </row>
    <row r="56" customHeight="1" spans="12:12">
      <c r="L56" s="1"/>
    </row>
    <row r="57" customHeight="1" spans="12:12">
      <c r="L57" s="1"/>
    </row>
    <row r="58" customHeight="1" spans="12:12">
      <c r="L58" s="1"/>
    </row>
    <row r="59" customHeight="1" spans="12:12">
      <c r="L59" s="1"/>
    </row>
    <row r="60" customHeight="1" spans="12:12">
      <c r="L60" s="1"/>
    </row>
    <row r="61" customHeight="1" spans="12:12">
      <c r="L61" s="1"/>
    </row>
    <row r="62" customHeight="1" spans="12:12">
      <c r="L62" s="1"/>
    </row>
    <row r="63" customHeight="1" spans="12:12">
      <c r="L63" s="1"/>
    </row>
    <row r="64" customHeight="1" spans="12:12">
      <c r="L64" s="1"/>
    </row>
    <row r="65" customHeight="1" spans="12:12">
      <c r="L65" s="1"/>
    </row>
    <row r="66" customHeight="1" spans="12:12">
      <c r="L66" s="1"/>
    </row>
    <row r="67" customHeight="1" spans="12:12">
      <c r="L67" s="1"/>
    </row>
    <row r="68" customHeight="1" spans="12:12">
      <c r="L68" s="1"/>
    </row>
    <row r="69" customHeight="1" spans="12:12">
      <c r="L69" s="1"/>
    </row>
    <row r="70" customHeight="1" spans="12:12">
      <c r="L70" s="1"/>
    </row>
    <row r="71" customHeight="1" spans="12:12">
      <c r="L71" s="1"/>
    </row>
    <row r="72" customHeight="1" spans="12:12">
      <c r="L72" s="1"/>
    </row>
    <row r="73" customHeight="1" spans="12:12">
      <c r="L73" s="1"/>
    </row>
    <row r="74" customHeight="1" spans="12:12">
      <c r="L74" s="1"/>
    </row>
    <row r="75" customHeight="1" spans="12:12">
      <c r="L75" s="1"/>
    </row>
    <row r="76" customHeight="1" spans="12:12">
      <c r="L76" s="1"/>
    </row>
    <row r="77" customHeight="1" spans="12:12">
      <c r="L77" s="1"/>
    </row>
    <row r="78" customHeight="1" spans="12:12">
      <c r="L78" s="1"/>
    </row>
    <row r="79" customHeight="1" spans="12:12">
      <c r="L79" s="1"/>
    </row>
    <row r="80" customHeight="1" spans="12:12">
      <c r="L80" s="1"/>
    </row>
    <row r="81" customHeight="1" spans="12:12">
      <c r="L81" s="1"/>
    </row>
    <row r="82" customHeight="1" spans="12:12">
      <c r="L82" s="1"/>
    </row>
    <row r="83" customHeight="1" spans="12:12">
      <c r="L83" s="1"/>
    </row>
    <row r="84" customHeight="1" spans="12:12">
      <c r="L84" s="1"/>
    </row>
    <row r="85" customHeight="1" spans="12:12">
      <c r="L85" s="1"/>
    </row>
    <row r="86" customHeight="1" spans="12:12">
      <c r="L86" s="1"/>
    </row>
    <row r="87" customHeight="1" spans="12:12">
      <c r="L87" s="1"/>
    </row>
    <row r="88" customHeight="1" spans="12:12">
      <c r="L88" s="1"/>
    </row>
    <row r="89" customHeight="1" spans="12:12">
      <c r="L89" s="1"/>
    </row>
    <row r="90" customHeight="1" spans="12:12">
      <c r="L90" s="1"/>
    </row>
    <row r="91" customHeight="1" spans="12:12">
      <c r="L91" s="1"/>
    </row>
    <row r="92" customHeight="1" spans="12:12">
      <c r="L92" s="1"/>
    </row>
    <row r="93" customHeight="1" spans="12:12">
      <c r="L93" s="1"/>
    </row>
    <row r="94" customHeight="1" spans="12:12">
      <c r="L94" s="1"/>
    </row>
    <row r="95" customHeight="1" spans="12:12">
      <c r="L95" s="1"/>
    </row>
    <row r="96" customHeight="1" spans="12:12">
      <c r="L96" s="1"/>
    </row>
    <row r="97" customHeight="1" spans="12:12">
      <c r="L97" s="1"/>
    </row>
    <row r="98" customHeight="1" spans="12:12">
      <c r="L98" s="1"/>
    </row>
    <row r="99" customHeight="1" spans="12:12">
      <c r="L99" s="1"/>
    </row>
    <row r="100" customHeight="1" spans="12:12">
      <c r="L100" s="1"/>
    </row>
    <row r="101" customHeight="1" spans="12:12">
      <c r="L101" s="1"/>
    </row>
    <row r="102" customHeight="1" spans="12:12">
      <c r="L102" s="1"/>
    </row>
    <row r="103" customHeight="1" spans="12:12">
      <c r="L103" s="1"/>
    </row>
    <row r="104" customHeight="1" spans="12:12">
      <c r="L104" s="1"/>
    </row>
    <row r="105" customHeight="1" spans="12:12">
      <c r="L105" s="1"/>
    </row>
    <row r="106" customHeight="1" spans="12:12">
      <c r="L106" s="1"/>
    </row>
    <row r="107" customHeight="1" spans="12:12">
      <c r="L107" s="1"/>
    </row>
    <row r="108" customHeight="1" spans="12:12">
      <c r="L108" s="1"/>
    </row>
    <row r="109" customHeight="1" spans="12:12">
      <c r="L109" s="1"/>
    </row>
    <row r="110" customHeight="1" spans="12:12">
      <c r="L110" s="1"/>
    </row>
    <row r="111" customHeight="1" spans="12:12">
      <c r="L111" s="1"/>
    </row>
    <row r="112" customHeight="1" spans="12:12">
      <c r="L112" s="1"/>
    </row>
    <row r="113" customHeight="1" spans="12:12">
      <c r="L113" s="1"/>
    </row>
    <row r="114" customHeight="1" spans="12:12">
      <c r="L114" s="1"/>
    </row>
    <row r="115" customHeight="1" spans="12:12">
      <c r="L115" s="1"/>
    </row>
    <row r="116" customHeight="1" spans="12:12">
      <c r="L116" s="1"/>
    </row>
    <row r="117" customHeight="1" spans="12:12">
      <c r="L117" s="1"/>
    </row>
    <row r="118" customHeight="1" spans="12:12">
      <c r="L118" s="1"/>
    </row>
    <row r="119" customHeight="1" spans="12:12">
      <c r="L119" s="1"/>
    </row>
    <row r="120" customHeight="1" spans="12:12">
      <c r="L120" s="1"/>
    </row>
    <row r="121" customHeight="1" spans="12:12">
      <c r="L121" s="1"/>
    </row>
    <row r="122" customHeight="1" spans="12:12">
      <c r="L122" s="1"/>
    </row>
    <row r="123" customHeight="1" spans="12:12">
      <c r="L123" s="1"/>
    </row>
    <row r="124" customHeight="1" spans="12:12">
      <c r="L124" s="1"/>
    </row>
    <row r="125" customHeight="1" spans="12:12">
      <c r="L125" s="1"/>
    </row>
    <row r="126" customHeight="1" spans="12:12">
      <c r="L126" s="1"/>
    </row>
    <row r="127" customHeight="1" spans="12:12">
      <c r="L127" s="1"/>
    </row>
    <row r="128" customHeight="1" spans="12:12">
      <c r="L128" s="1"/>
    </row>
    <row r="129" customHeight="1" spans="12:12">
      <c r="L129" s="1"/>
    </row>
    <row r="130" customHeight="1" spans="12:12">
      <c r="L130" s="1"/>
    </row>
    <row r="131" customHeight="1" spans="12:12">
      <c r="L131" s="11"/>
    </row>
    <row r="132" customHeight="1" spans="12:12">
      <c r="L132" s="6"/>
    </row>
    <row r="133" customHeight="1" spans="12:12">
      <c r="L133" s="6"/>
    </row>
    <row r="134" customHeight="1" spans="12:12">
      <c r="L134" s="6"/>
    </row>
    <row r="135" customHeight="1" spans="12:12">
      <c r="L135" s="6"/>
    </row>
    <row r="136" customHeight="1" spans="12:12">
      <c r="L136" s="12"/>
    </row>
    <row r="137" customHeight="1" spans="12:12">
      <c r="L137" s="12"/>
    </row>
    <row r="138" customHeight="1" spans="12:12">
      <c r="L138" s="12"/>
    </row>
    <row r="139" customHeight="1" spans="12:12">
      <c r="L139" s="12"/>
    </row>
    <row r="140" customHeight="1" spans="12:12">
      <c r="L140" s="12"/>
    </row>
    <row r="141" customHeight="1" spans="12:12">
      <c r="L141" s="12"/>
    </row>
    <row r="142" customHeight="1" spans="12:12">
      <c r="L142" s="12"/>
    </row>
    <row r="143" customHeight="1" spans="12:12">
      <c r="L143" s="12"/>
    </row>
    <row r="144" customHeight="1" spans="12:12">
      <c r="L144" s="12"/>
    </row>
    <row r="145" customHeight="1" spans="12:12">
      <c r="L145" s="12"/>
    </row>
    <row r="146" customHeight="1" spans="12:12">
      <c r="L146" s="12"/>
    </row>
    <row r="147" customHeight="1" spans="12:12">
      <c r="L147" s="12"/>
    </row>
    <row r="148" customHeight="1" spans="12:12">
      <c r="L148" s="12"/>
    </row>
    <row r="149" customHeight="1" spans="12:12">
      <c r="L149" s="12"/>
    </row>
    <row r="150" customHeight="1" spans="12:12">
      <c r="L150" s="12"/>
    </row>
    <row r="151" customHeight="1" spans="12:12">
      <c r="L151" s="12"/>
    </row>
    <row r="152" customHeight="1" spans="12:12">
      <c r="L152" s="12"/>
    </row>
    <row r="153" customHeight="1" spans="12:12">
      <c r="L153" s="12"/>
    </row>
    <row r="154" customHeight="1" spans="12:12">
      <c r="L154" s="12"/>
    </row>
    <row r="155" customHeight="1" spans="12:12">
      <c r="L155" s="12"/>
    </row>
    <row r="156" customHeight="1" spans="12:12">
      <c r="L156" s="12"/>
    </row>
    <row r="157" customHeight="1" spans="12:12">
      <c r="L157" s="12"/>
    </row>
    <row r="158" customHeight="1" spans="12:12">
      <c r="L158" s="12"/>
    </row>
    <row r="159" customHeight="1" spans="12:12">
      <c r="L159" s="12"/>
    </row>
    <row r="160" customHeight="1" spans="12:12">
      <c r="L160" s="12"/>
    </row>
    <row r="161" customHeight="1" spans="12:12">
      <c r="L161" s="12"/>
    </row>
    <row r="162" customHeight="1" spans="12:12">
      <c r="L162" s="12"/>
    </row>
    <row r="163" customHeight="1" spans="12:12">
      <c r="L163" s="12"/>
    </row>
    <row r="164" customHeight="1" spans="12:12">
      <c r="L164" s="12"/>
    </row>
    <row r="165" customHeight="1" spans="12:12">
      <c r="L165" s="12"/>
    </row>
  </sheetData>
  <dataValidations count="1">
    <dataValidation type="custom" allowBlank="1" showErrorMessage="1" errorTitle="拒绝重复输入" error="当前输入的内容，与本区域的其他单元格内容重复。" sqref="C3:T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2026-09-20T02:42:07Z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