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<sst xmlns="http://schemas.openxmlformats.org/spreadsheetml/2006/main" count="219" uniqueCount="83">
  <si>
    <t>#</t>
  </si>
  <si>
    <t>ID</t>
  </si>
  <si>
    <t>MapName</t>
  </si>
  <si>
    <t>MonsterName</t>
  </si>
  <si>
    <t>Type</t>
  </si>
  <si>
    <t>StartLevel</t>
  </si>
  <si>
    <t>EndLevel</t>
  </si>
  <si>
    <t>Atk</t>
  </si>
  <si>
    <t>AtrRise</t>
  </si>
  <si>
    <t>Def</t>
  </si>
  <si>
    <t>DefRise</t>
  </si>
  <si>
    <t>Hp</t>
  </si>
  <si>
    <t>HpRise</t>
  </si>
  <si>
    <t>DamageIncrea</t>
  </si>
  <si>
    <t>DamageResist</t>
  </si>
  <si>
    <t>Accuracy</t>
  </si>
  <si>
    <t>Miss</t>
  </si>
  <si>
    <t>SkipReward</t>
  </si>
  <si>
    <t>RewardId</t>
  </si>
  <si>
    <t>RewardCount</t>
  </si>
  <si>
    <t>Id</t>
  </si>
  <si>
    <t>int</t>
  </si>
  <si>
    <t>string</t>
  </si>
  <si>
    <t>double</t>
  </si>
  <si>
    <t>long</t>
  </si>
  <si>
    <t>金币副本</t>
  </si>
  <si>
    <t>金币小偷</t>
  </si>
  <si>
    <t>10</t>
  </si>
  <si>
    <t>2</t>
  </si>
  <si>
    <t>1000</t>
  </si>
  <si>
    <t>4</t>
  </si>
  <si>
    <t>4000</t>
  </si>
  <si>
    <t>8</t>
  </si>
  <si>
    <t>20000</t>
  </si>
  <si>
    <t>16</t>
  </si>
  <si>
    <t>32</t>
  </si>
  <si>
    <t>200000</t>
  </si>
  <si>
    <t>64</t>
  </si>
  <si>
    <t>500000</t>
  </si>
  <si>
    <t>128</t>
  </si>
  <si>
    <t>1000000</t>
  </si>
  <si>
    <t>256</t>
  </si>
  <si>
    <t>4000000</t>
  </si>
  <si>
    <t>512</t>
  </si>
  <si>
    <t>20000000</t>
  </si>
  <si>
    <t>1024</t>
  </si>
  <si>
    <t>50000000</t>
  </si>
  <si>
    <t>2048</t>
  </si>
  <si>
    <t>200000000</t>
  </si>
  <si>
    <t>4096</t>
  </si>
  <si>
    <t>500000000</t>
  </si>
  <si>
    <t>强化副本</t>
  </si>
  <si>
    <t>叛逃铁匠</t>
  </si>
  <si>
    <t>20</t>
  </si>
  <si>
    <t>2000</t>
  </si>
  <si>
    <t>强化石副本</t>
  </si>
  <si>
    <t>8000</t>
  </si>
  <si>
    <t>25</t>
  </si>
  <si>
    <t>40000</t>
  </si>
  <si>
    <t>50</t>
  </si>
  <si>
    <t>100000</t>
  </si>
  <si>
    <t>100</t>
  </si>
  <si>
    <t>400000</t>
  </si>
  <si>
    <t>200</t>
  </si>
  <si>
    <t>500</t>
  </si>
  <si>
    <t>2000000</t>
  </si>
  <si>
    <t>8000000</t>
  </si>
  <si>
    <t>2500</t>
  </si>
  <si>
    <t>40000000</t>
  </si>
  <si>
    <t>5000</t>
  </si>
  <si>
    <t>100000000</t>
  </si>
  <si>
    <t>10000</t>
  </si>
  <si>
    <t>400000000</t>
  </si>
  <si>
    <t>25000</t>
  </si>
  <si>
    <t>1000000000</t>
  </si>
  <si>
    <t>精炼副本</t>
  </si>
  <si>
    <t>军需官</t>
  </si>
  <si>
    <t>黑铁石副本</t>
  </si>
  <si>
    <t>10000000</t>
  </si>
  <si>
    <t>60000000</t>
  </si>
  <si>
    <t>600000000</t>
  </si>
  <si>
    <t>2000000000</t>
  </si>
  <si>
    <t>6000000000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</si>
</sst>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V42"/>
  <sheetViews>
    <sheetView tabSelected="1" workbookViewId="0">
      <pane ySplit="5" topLeftCell="A20" activePane="bottomLeft" state="frozen"/>
      <selection/>
      <selection pane="bottomLeft" activeCell="M43" sqref="M43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4" width="18" style="1" customWidth="1"/>
    <col min="5" max="5" width="18.3333333333333" style="1" customWidth="1"/>
    <col min="6" max="6" width="9.875" style="1" customWidth="1"/>
    <col min="7" max="7" width="11.125" style="1" customWidth="1"/>
    <col min="8" max="8" width="10.1666666666667" style="1" customWidth="1"/>
    <col min="9" max="9" width="14" style="3" customWidth="1"/>
    <col min="10" max="10" width="10.5" style="3" customWidth="1"/>
    <col min="11" max="11" width="10.3333333333333" style="3" customWidth="1"/>
    <col min="12" max="12" width="12.5833333333333" style="3" customWidth="1"/>
    <col min="13" max="13" width="17.5833333333333" style="3" customWidth="1"/>
    <col min="14" max="14" width="12.5833333333333" style="3" customWidth="1"/>
    <col min="15" max="15" width="12" style="1" customWidth="1"/>
    <col min="16" max="16" width="12.1666666666667" style="1" customWidth="1"/>
    <col min="17" max="17" width="9.08333333333333" style="1" customWidth="1"/>
    <col min="18" max="18" width="9" style="1" customWidth="1"/>
    <col min="19" max="19" width="11.5833333333333" style="1" customWidth="1"/>
    <col min="20" max="20" width="10.4166666666667" style="1" customWidth="1"/>
    <col min="21" max="21" width="12.4166666666667" style="1" customWidth="1"/>
    <col min="22" max="16384" width="9" style="1"/>
  </cols>
  <sheetData>
    <row r="1" s="1" customFormat="1" customHeight="1" spans="3:22">
      <c r="V1" s="1" t="s">
        <v>0</v>
      </c>
    </row>
    <row r="2" s="1" customFormat="1" customHeight="1" spans="3:22">
      <c r="V2" s="1" t="s">
        <v>0</v>
      </c>
    </row>
    <row r="3" s="1" customFormat="1" customHeight="1" spans="3:22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</row>
    <row r="4" s="1" customFormat="1" customHeight="1" spans="3:22">
      <c r="C4" s="4" t="s">
        <v>20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</row>
    <row r="5" s="1" customFormat="1" customHeight="1" spans="3:22">
      <c r="C5" s="4" t="s">
        <v>21</v>
      </c>
      <c r="D5" s="4" t="s">
        <v>22</v>
      </c>
      <c r="E5" s="4" t="s">
        <v>22</v>
      </c>
      <c r="F5" s="4" t="s">
        <v>21</v>
      </c>
      <c r="G5" s="4" t="s">
        <v>21</v>
      </c>
      <c r="H5" s="4" t="s">
        <v>21</v>
      </c>
      <c r="I5" s="4" t="s">
        <v>22</v>
      </c>
      <c r="J5" s="4" t="s">
        <v>22</v>
      </c>
      <c r="K5" s="4" t="s">
        <v>22</v>
      </c>
      <c r="L5" s="4" t="s">
        <v>22</v>
      </c>
      <c r="M5" s="4" t="s">
        <v>22</v>
      </c>
      <c r="N5" s="4" t="s">
        <v>22</v>
      </c>
      <c r="O5" s="4" t="s">
        <v>23</v>
      </c>
      <c r="P5" s="4" t="s">
        <v>23</v>
      </c>
      <c r="Q5" s="4" t="s">
        <v>23</v>
      </c>
      <c r="R5" s="4" t="s">
        <v>23</v>
      </c>
      <c r="S5" s="4" t="s">
        <v>24</v>
      </c>
      <c r="T5" s="4" t="s">
        <v>21</v>
      </c>
      <c r="U5" s="4" t="s">
        <v>21</v>
      </c>
    </row>
    <row r="6" s="2" customFormat="1" customHeight="1" spans="3:22">
      <c r="C6" s="2">
        <v>1</v>
      </c>
      <c r="D6" s="2" t="s">
        <v>25</v>
      </c>
      <c r="E6" s="2" t="s">
        <v>26</v>
      </c>
      <c r="F6" s="2">
        <v>1</v>
      </c>
      <c r="G6" s="2">
        <v>1</v>
      </c>
      <c r="H6" s="2">
        <v>100</v>
      </c>
      <c r="I6" s="6" t="s">
        <v>27</v>
      </c>
      <c r="J6" s="5">
        <v>10</v>
      </c>
      <c r="K6" s="5">
        <v>2</v>
      </c>
      <c r="L6" s="6" t="s">
        <v>28</v>
      </c>
      <c r="M6" s="6" t="s">
        <v>29</v>
      </c>
      <c r="N6" s="6" t="s">
        <v>29</v>
      </c>
      <c r="O6" s="2">
        <v>0.01</v>
      </c>
      <c r="P6" s="2">
        <v>0.01</v>
      </c>
      <c r="Q6" s="2">
        <v>0.01</v>
      </c>
      <c r="R6" s="2">
        <v>0.01</v>
      </c>
      <c r="S6" s="2">
        <v>0</v>
      </c>
      <c r="T6" s="2">
        <v>0</v>
      </c>
      <c r="U6" s="2">
        <v>5000</v>
      </c>
      <c r="V6" s="2" t="s">
        <v>25</v>
      </c>
    </row>
    <row r="7" s="2" customFormat="1" customHeight="1" spans="3:22">
      <c r="C7" s="2">
        <v>2</v>
      </c>
      <c r="D7" s="2" t="s">
        <v>25</v>
      </c>
      <c r="E7" s="2" t="s">
        <v>26</v>
      </c>
      <c r="F7" s="2">
        <v>1</v>
      </c>
      <c r="G7" s="2">
        <f t="shared" ref="G7:G17" si="0">H6+1</f>
        <v>101</v>
      </c>
      <c r="H7" s="2">
        <v>300</v>
      </c>
      <c r="I7" s="5">
        <f t="shared" ref="I7:I17" si="1">I6+J6*(H6-G6)+J7</f>
        <v>1020</v>
      </c>
      <c r="J7" s="5">
        <v>20</v>
      </c>
      <c r="K7" s="5">
        <f t="shared" ref="K7:K17" si="2">K6+L6*(H6-G6)+L7</f>
        <v>204</v>
      </c>
      <c r="L7" s="6" t="s">
        <v>30</v>
      </c>
      <c r="M7" s="5">
        <f t="shared" ref="M7:M17" si="3">M6+N6*(H6-G6)+N7</f>
        <v>104000</v>
      </c>
      <c r="N7" s="6" t="s">
        <v>31</v>
      </c>
      <c r="O7" s="2">
        <v>0.01</v>
      </c>
      <c r="P7" s="2">
        <v>0.01</v>
      </c>
      <c r="Q7" s="2">
        <v>0.01</v>
      </c>
      <c r="R7" s="2">
        <v>0.01</v>
      </c>
      <c r="S7" s="5">
        <f t="shared" ref="S7:S17" si="4">S6+U6*(H6-G6+1)</f>
        <v>500000</v>
      </c>
      <c r="T7" s="2">
        <v>0</v>
      </c>
      <c r="U7" s="2">
        <v>5000</v>
      </c>
      <c r="V7" s="2" t="s">
        <v>25</v>
      </c>
    </row>
    <row r="8" s="2" customFormat="1" customHeight="1" spans="3:22">
      <c r="C8" s="2">
        <v>3</v>
      </c>
      <c r="D8" s="2" t="s">
        <v>25</v>
      </c>
      <c r="E8" s="2" t="s">
        <v>26</v>
      </c>
      <c r="F8" s="2">
        <v>1</v>
      </c>
      <c r="G8" s="2">
        <f t="shared" si="0"/>
        <v>301</v>
      </c>
      <c r="H8" s="2">
        <v>600</v>
      </c>
      <c r="I8" s="5">
        <f t="shared" si="1"/>
        <v>5040</v>
      </c>
      <c r="J8" s="5">
        <v>40</v>
      </c>
      <c r="K8" s="5">
        <f t="shared" si="2"/>
        <v>1008</v>
      </c>
      <c r="L8" s="6" t="s">
        <v>32</v>
      </c>
      <c r="M8" s="5">
        <f t="shared" si="3"/>
        <v>920000</v>
      </c>
      <c r="N8" s="6" t="s">
        <v>33</v>
      </c>
      <c r="O8" s="2">
        <v>0.01</v>
      </c>
      <c r="P8" s="2">
        <v>0.01</v>
      </c>
      <c r="Q8" s="2">
        <v>0.01</v>
      </c>
      <c r="R8" s="2">
        <v>0.01</v>
      </c>
      <c r="S8" s="5">
        <f t="shared" si="4"/>
        <v>1500000</v>
      </c>
      <c r="T8" s="2">
        <v>0</v>
      </c>
      <c r="U8" s="2">
        <v>8000</v>
      </c>
      <c r="V8" s="2" t="s">
        <v>25</v>
      </c>
    </row>
    <row r="9" s="2" customFormat="1" customHeight="1" spans="3:22">
      <c r="C9" s="2">
        <v>4</v>
      </c>
      <c r="D9" s="2" t="s">
        <v>25</v>
      </c>
      <c r="E9" s="2" t="s">
        <v>26</v>
      </c>
      <c r="F9" s="2">
        <v>1</v>
      </c>
      <c r="G9" s="2">
        <f t="shared" si="0"/>
        <v>601</v>
      </c>
      <c r="H9" s="2">
        <v>1000</v>
      </c>
      <c r="I9" s="5">
        <f t="shared" si="1"/>
        <v>17080</v>
      </c>
      <c r="J9" s="5">
        <v>80</v>
      </c>
      <c r="K9" s="5">
        <f t="shared" si="2"/>
        <v>3416</v>
      </c>
      <c r="L9" s="6" t="s">
        <v>34</v>
      </c>
      <c r="M9" s="5">
        <f t="shared" si="3"/>
        <v>6950000</v>
      </c>
      <c r="N9" s="5">
        <v>50000</v>
      </c>
      <c r="O9" s="2">
        <v>0.01</v>
      </c>
      <c r="P9" s="2">
        <v>0.01</v>
      </c>
      <c r="Q9" s="2">
        <v>0.01</v>
      </c>
      <c r="R9" s="2">
        <v>0.01</v>
      </c>
      <c r="S9" s="5">
        <f t="shared" si="4"/>
        <v>3900000</v>
      </c>
      <c r="T9" s="2">
        <v>0</v>
      </c>
      <c r="U9" s="2">
        <v>8000</v>
      </c>
      <c r="V9" s="2" t="s">
        <v>25</v>
      </c>
    </row>
    <row r="10" s="2" customFormat="1" customHeight="1" spans="3:22">
      <c r="C10" s="2">
        <v>5</v>
      </c>
      <c r="D10" s="2" t="s">
        <v>25</v>
      </c>
      <c r="E10" s="2" t="s">
        <v>26</v>
      </c>
      <c r="F10" s="2">
        <v>1</v>
      </c>
      <c r="G10" s="2">
        <f t="shared" si="0"/>
        <v>1001</v>
      </c>
      <c r="H10" s="2">
        <v>1500</v>
      </c>
      <c r="I10" s="5">
        <f t="shared" si="1"/>
        <v>49160</v>
      </c>
      <c r="J10" s="5">
        <v>160</v>
      </c>
      <c r="K10" s="5">
        <f t="shared" si="2"/>
        <v>9832</v>
      </c>
      <c r="L10" s="6" t="s">
        <v>35</v>
      </c>
      <c r="M10" s="5">
        <f t="shared" si="3"/>
        <v>27100000</v>
      </c>
      <c r="N10" s="6" t="s">
        <v>36</v>
      </c>
      <c r="O10" s="2">
        <v>0.01</v>
      </c>
      <c r="P10" s="2">
        <v>0.01</v>
      </c>
      <c r="Q10" s="2">
        <v>0.01</v>
      </c>
      <c r="R10" s="2">
        <v>0.01</v>
      </c>
      <c r="S10" s="5">
        <f t="shared" si="4"/>
        <v>7100000</v>
      </c>
      <c r="T10" s="2">
        <v>0</v>
      </c>
      <c r="U10" s="2">
        <v>10000</v>
      </c>
      <c r="V10" s="2" t="s">
        <v>25</v>
      </c>
    </row>
    <row r="11" s="2" customFormat="1" customHeight="1" spans="3:22">
      <c r="C11" s="2">
        <v>6</v>
      </c>
      <c r="D11" s="2" t="s">
        <v>25</v>
      </c>
      <c r="E11" s="2" t="s">
        <v>26</v>
      </c>
      <c r="F11" s="2">
        <v>1</v>
      </c>
      <c r="G11" s="2">
        <f t="shared" si="0"/>
        <v>1501</v>
      </c>
      <c r="H11" s="2">
        <v>2100</v>
      </c>
      <c r="I11" s="5">
        <f t="shared" si="1"/>
        <v>129320</v>
      </c>
      <c r="J11" s="5">
        <v>320</v>
      </c>
      <c r="K11" s="5">
        <f t="shared" si="2"/>
        <v>25864</v>
      </c>
      <c r="L11" s="6" t="s">
        <v>37</v>
      </c>
      <c r="M11" s="5">
        <f t="shared" si="3"/>
        <v>127400000</v>
      </c>
      <c r="N11" s="6" t="s">
        <v>38</v>
      </c>
      <c r="O11" s="2">
        <v>0.01</v>
      </c>
      <c r="P11" s="2">
        <v>0.01</v>
      </c>
      <c r="Q11" s="2">
        <v>0.01</v>
      </c>
      <c r="R11" s="2">
        <v>0.01</v>
      </c>
      <c r="S11" s="5">
        <f t="shared" si="4"/>
        <v>12100000</v>
      </c>
      <c r="T11" s="2">
        <v>0</v>
      </c>
      <c r="U11" s="2">
        <v>12000</v>
      </c>
      <c r="V11" s="2" t="s">
        <v>25</v>
      </c>
    </row>
    <row r="12" s="2" customFormat="1" customHeight="1" spans="3:22">
      <c r="C12" s="2">
        <v>7</v>
      </c>
      <c r="D12" s="2" t="s">
        <v>25</v>
      </c>
      <c r="E12" s="2" t="s">
        <v>26</v>
      </c>
      <c r="F12" s="2">
        <v>1</v>
      </c>
      <c r="G12" s="2">
        <f t="shared" si="0"/>
        <v>2101</v>
      </c>
      <c r="H12" s="2">
        <v>2800</v>
      </c>
      <c r="I12" s="5">
        <f t="shared" si="1"/>
        <v>321640</v>
      </c>
      <c r="J12" s="5">
        <v>640</v>
      </c>
      <c r="K12" s="5">
        <f t="shared" si="2"/>
        <v>64328</v>
      </c>
      <c r="L12" s="6" t="s">
        <v>39</v>
      </c>
      <c r="M12" s="5">
        <f t="shared" si="3"/>
        <v>427900000</v>
      </c>
      <c r="N12" s="6" t="s">
        <v>40</v>
      </c>
      <c r="O12" s="2">
        <v>0.01</v>
      </c>
      <c r="P12" s="2">
        <v>0.01</v>
      </c>
      <c r="Q12" s="2">
        <v>0.01</v>
      </c>
      <c r="R12" s="2">
        <v>0.01</v>
      </c>
      <c r="S12" s="5">
        <f t="shared" si="4"/>
        <v>19300000</v>
      </c>
      <c r="T12" s="2">
        <v>0</v>
      </c>
      <c r="U12" s="2">
        <v>14000</v>
      </c>
      <c r="V12" s="2" t="s">
        <v>25</v>
      </c>
    </row>
    <row r="13" s="2" customFormat="1" customHeight="1" spans="3:22">
      <c r="C13" s="2">
        <v>8</v>
      </c>
      <c r="D13" s="2" t="s">
        <v>25</v>
      </c>
      <c r="E13" s="2" t="s">
        <v>26</v>
      </c>
      <c r="F13" s="2">
        <v>1</v>
      </c>
      <c r="G13" s="2">
        <f t="shared" si="0"/>
        <v>2801</v>
      </c>
      <c r="H13" s="2">
        <v>3600</v>
      </c>
      <c r="I13" s="5">
        <f t="shared" si="1"/>
        <v>770280</v>
      </c>
      <c r="J13" s="5">
        <v>1280</v>
      </c>
      <c r="K13" s="5">
        <f t="shared" si="2"/>
        <v>154056</v>
      </c>
      <c r="L13" s="6" t="s">
        <v>41</v>
      </c>
      <c r="M13" s="5">
        <f t="shared" si="3"/>
        <v>1130900000</v>
      </c>
      <c r="N13" s="6" t="s">
        <v>42</v>
      </c>
      <c r="O13" s="2">
        <v>0.01</v>
      </c>
      <c r="P13" s="2">
        <v>0.01</v>
      </c>
      <c r="Q13" s="2">
        <v>0.01</v>
      </c>
      <c r="R13" s="2">
        <v>0.01</v>
      </c>
      <c r="S13" s="5">
        <f t="shared" si="4"/>
        <v>29100000</v>
      </c>
      <c r="T13" s="2">
        <v>0</v>
      </c>
      <c r="U13" s="2">
        <v>16000</v>
      </c>
      <c r="V13" s="2" t="s">
        <v>25</v>
      </c>
    </row>
    <row r="14" s="2" customFormat="1" customHeight="1" spans="3:22">
      <c r="C14" s="2">
        <v>9</v>
      </c>
      <c r="D14" s="2" t="s">
        <v>25</v>
      </c>
      <c r="E14" s="2" t="s">
        <v>26</v>
      </c>
      <c r="F14" s="2">
        <v>1</v>
      </c>
      <c r="G14" s="2">
        <f t="shared" si="0"/>
        <v>3601</v>
      </c>
      <c r="H14" s="2">
        <v>4500</v>
      </c>
      <c r="I14" s="5">
        <f t="shared" si="1"/>
        <v>1795560</v>
      </c>
      <c r="J14" s="5">
        <v>2560</v>
      </c>
      <c r="K14" s="5">
        <f t="shared" si="2"/>
        <v>359112</v>
      </c>
      <c r="L14" s="6" t="s">
        <v>43</v>
      </c>
      <c r="M14" s="5">
        <f t="shared" si="3"/>
        <v>4346900000</v>
      </c>
      <c r="N14" s="6" t="s">
        <v>44</v>
      </c>
      <c r="O14" s="2">
        <v>0.01</v>
      </c>
      <c r="P14" s="2">
        <v>0.01</v>
      </c>
      <c r="Q14" s="2">
        <v>0.01</v>
      </c>
      <c r="R14" s="2">
        <v>0.01</v>
      </c>
      <c r="S14" s="5">
        <f t="shared" si="4"/>
        <v>41900000</v>
      </c>
      <c r="T14" s="2">
        <v>0</v>
      </c>
      <c r="U14" s="2">
        <v>18000</v>
      </c>
      <c r="V14" s="2" t="s">
        <v>25</v>
      </c>
    </row>
    <row r="15" s="2" customFormat="1" customHeight="1" spans="3:22">
      <c r="C15" s="2">
        <v>10</v>
      </c>
      <c r="D15" s="2" t="s">
        <v>25</v>
      </c>
      <c r="E15" s="2" t="s">
        <v>26</v>
      </c>
      <c r="F15" s="2">
        <v>1</v>
      </c>
      <c r="G15" s="2">
        <f t="shared" si="0"/>
        <v>4501</v>
      </c>
      <c r="H15" s="2">
        <v>5500</v>
      </c>
      <c r="I15" s="5">
        <f t="shared" si="1"/>
        <v>4102120</v>
      </c>
      <c r="J15" s="5">
        <v>5120</v>
      </c>
      <c r="K15" s="5">
        <f t="shared" si="2"/>
        <v>820424</v>
      </c>
      <c r="L15" s="6" t="s">
        <v>45</v>
      </c>
      <c r="M15" s="5">
        <f t="shared" si="3"/>
        <v>22376900000</v>
      </c>
      <c r="N15" s="6" t="s">
        <v>46</v>
      </c>
      <c r="O15" s="2">
        <v>0.01</v>
      </c>
      <c r="P15" s="2">
        <v>0.01</v>
      </c>
      <c r="Q15" s="2">
        <v>0.01</v>
      </c>
      <c r="R15" s="2">
        <v>0.01</v>
      </c>
      <c r="S15" s="5">
        <f t="shared" si="4"/>
        <v>58100000</v>
      </c>
      <c r="T15" s="2">
        <v>0</v>
      </c>
      <c r="U15" s="2">
        <v>20000</v>
      </c>
      <c r="V15" s="2" t="s">
        <v>25</v>
      </c>
    </row>
    <row r="16" s="2" customFormat="1" customHeight="1" spans="3:22">
      <c r="C16" s="2">
        <v>11</v>
      </c>
      <c r="D16" s="2" t="s">
        <v>25</v>
      </c>
      <c r="E16" s="2" t="s">
        <v>26</v>
      </c>
      <c r="F16" s="2">
        <v>1</v>
      </c>
      <c r="G16" s="2">
        <f t="shared" si="0"/>
        <v>5501</v>
      </c>
      <c r="H16" s="2">
        <v>6600</v>
      </c>
      <c r="I16" s="5">
        <f t="shared" si="1"/>
        <v>9227240</v>
      </c>
      <c r="J16" s="5">
        <v>10240</v>
      </c>
      <c r="K16" s="5">
        <f t="shared" si="2"/>
        <v>1845448</v>
      </c>
      <c r="L16" s="6" t="s">
        <v>47</v>
      </c>
      <c r="M16" s="5">
        <f t="shared" si="3"/>
        <v>72526900000</v>
      </c>
      <c r="N16" s="6" t="s">
        <v>48</v>
      </c>
      <c r="O16" s="2">
        <v>0.01</v>
      </c>
      <c r="P16" s="2">
        <v>0.01</v>
      </c>
      <c r="Q16" s="2">
        <v>0.01</v>
      </c>
      <c r="R16" s="2">
        <v>0.01</v>
      </c>
      <c r="S16" s="5">
        <f t="shared" si="4"/>
        <v>78100000</v>
      </c>
      <c r="T16" s="2">
        <v>0</v>
      </c>
      <c r="U16" s="2">
        <v>24000</v>
      </c>
      <c r="V16" s="2" t="s">
        <v>25</v>
      </c>
    </row>
    <row r="17" s="2" customFormat="1" customHeight="1" spans="3:22">
      <c r="C17" s="2">
        <v>12</v>
      </c>
      <c r="D17" s="2" t="s">
        <v>25</v>
      </c>
      <c r="E17" s="2" t="s">
        <v>26</v>
      </c>
      <c r="F17" s="2">
        <v>1</v>
      </c>
      <c r="G17" s="2">
        <f t="shared" si="0"/>
        <v>6601</v>
      </c>
      <c r="H17" s="2">
        <v>7800</v>
      </c>
      <c r="I17" s="5">
        <f t="shared" si="1"/>
        <v>20501480</v>
      </c>
      <c r="J17" s="5">
        <v>20480</v>
      </c>
      <c r="K17" s="5">
        <f t="shared" si="2"/>
        <v>4100296</v>
      </c>
      <c r="L17" s="6" t="s">
        <v>49</v>
      </c>
      <c r="M17" s="5">
        <f t="shared" si="3"/>
        <v>292826900000</v>
      </c>
      <c r="N17" s="6" t="s">
        <v>50</v>
      </c>
      <c r="O17" s="2">
        <v>0.01</v>
      </c>
      <c r="P17" s="2">
        <v>0.01</v>
      </c>
      <c r="Q17" s="2">
        <v>0.01</v>
      </c>
      <c r="R17" s="2">
        <v>0.01</v>
      </c>
      <c r="S17" s="5">
        <f t="shared" si="4"/>
        <v>104500000</v>
      </c>
      <c r="T17" s="2">
        <v>0</v>
      </c>
      <c r="U17" s="2">
        <v>28000</v>
      </c>
      <c r="V17" s="2" t="s">
        <v>25</v>
      </c>
    </row>
    <row r="18" s="2" customFormat="1" customHeight="1" spans="3:22">
      <c r="I18" s="5"/>
      <c r="J18" s="5"/>
      <c r="K18" s="5"/>
      <c r="L18" s="5"/>
      <c r="N18" s="5"/>
    </row>
    <row r="19" s="2" customFormat="1" customHeight="1" spans="3:22">
      <c r="C19" s="2">
        <v>10001</v>
      </c>
      <c r="D19" s="2" t="s">
        <v>51</v>
      </c>
      <c r="E19" s="2" t="s">
        <v>52</v>
      </c>
      <c r="F19" s="2">
        <v>2</v>
      </c>
      <c r="G19" s="2">
        <v>1</v>
      </c>
      <c r="H19" s="2">
        <v>100</v>
      </c>
      <c r="I19" s="6" t="s">
        <v>53</v>
      </c>
      <c r="J19" s="6" t="s">
        <v>53</v>
      </c>
      <c r="K19" s="5">
        <v>5</v>
      </c>
      <c r="L19" s="5">
        <v>5</v>
      </c>
      <c r="M19" s="6" t="s">
        <v>33</v>
      </c>
      <c r="N19" s="6" t="s">
        <v>54</v>
      </c>
      <c r="O19" s="2">
        <v>0.02</v>
      </c>
      <c r="P19" s="2">
        <v>0.02</v>
      </c>
      <c r="Q19" s="2">
        <v>0.02</v>
      </c>
      <c r="R19" s="2">
        <v>0.02</v>
      </c>
      <c r="S19" s="2">
        <v>0</v>
      </c>
      <c r="T19" s="2">
        <v>5001</v>
      </c>
      <c r="U19" s="2">
        <v>5</v>
      </c>
      <c r="V19" s="2" t="s">
        <v>55</v>
      </c>
    </row>
    <row r="20" s="2" customFormat="1" customHeight="1" spans="3:22">
      <c r="C20" s="2">
        <v>10002</v>
      </c>
      <c r="D20" s="2" t="s">
        <v>51</v>
      </c>
      <c r="E20" s="2" t="s">
        <v>52</v>
      </c>
      <c r="F20" s="2">
        <v>2</v>
      </c>
      <c r="G20" s="2">
        <f t="shared" ref="G20:G30" si="5">H19+1</f>
        <v>101</v>
      </c>
      <c r="H20" s="2">
        <v>300</v>
      </c>
      <c r="I20" s="5">
        <f t="shared" ref="I20:I30" si="6">I19+J19*(H19-G19)+J20</f>
        <v>2050</v>
      </c>
      <c r="J20" s="5">
        <v>50</v>
      </c>
      <c r="K20" s="5">
        <f t="shared" ref="K20:K30" si="7">K19+L19*(H19-G19)+L20</f>
        <v>510</v>
      </c>
      <c r="L20" s="6" t="s">
        <v>27</v>
      </c>
      <c r="M20" s="5">
        <f t="shared" ref="M20:M30" si="8">M19+N19*(H19-G19)+N20</f>
        <v>226000</v>
      </c>
      <c r="N20" s="6" t="s">
        <v>56</v>
      </c>
      <c r="O20" s="2">
        <v>0.02</v>
      </c>
      <c r="P20" s="2">
        <v>0.02</v>
      </c>
      <c r="Q20" s="2">
        <v>0.02</v>
      </c>
      <c r="R20" s="2">
        <v>0.02</v>
      </c>
      <c r="S20" s="5">
        <f t="shared" ref="S20:S30" si="9">S19+U19*(H19-G19+1)</f>
        <v>500</v>
      </c>
      <c r="T20" s="2">
        <v>5001</v>
      </c>
      <c r="U20" s="2">
        <v>5</v>
      </c>
      <c r="V20" s="2" t="s">
        <v>55</v>
      </c>
    </row>
    <row r="21" s="2" customFormat="1" customHeight="1" spans="3:22">
      <c r="C21" s="2">
        <v>10003</v>
      </c>
      <c r="D21" s="2" t="s">
        <v>51</v>
      </c>
      <c r="E21" s="2" t="s">
        <v>52</v>
      </c>
      <c r="F21" s="2">
        <v>2</v>
      </c>
      <c r="G21" s="2">
        <f t="shared" si="5"/>
        <v>301</v>
      </c>
      <c r="H21" s="2">
        <v>600</v>
      </c>
      <c r="I21" s="5">
        <f t="shared" si="6"/>
        <v>12100</v>
      </c>
      <c r="J21" s="5">
        <v>100</v>
      </c>
      <c r="K21" s="5">
        <f t="shared" si="7"/>
        <v>2525</v>
      </c>
      <c r="L21" s="6" t="s">
        <v>57</v>
      </c>
      <c r="M21" s="5">
        <f t="shared" si="8"/>
        <v>1858000</v>
      </c>
      <c r="N21" s="6" t="s">
        <v>58</v>
      </c>
      <c r="O21" s="2">
        <v>0.02</v>
      </c>
      <c r="P21" s="2">
        <v>0.02</v>
      </c>
      <c r="Q21" s="2">
        <v>0.02</v>
      </c>
      <c r="R21" s="2">
        <v>0.02</v>
      </c>
      <c r="S21" s="5">
        <f t="shared" si="9"/>
        <v>1500</v>
      </c>
      <c r="T21" s="2">
        <v>5001</v>
      </c>
      <c r="U21" s="2">
        <v>8</v>
      </c>
      <c r="V21" s="2" t="s">
        <v>55</v>
      </c>
    </row>
    <row r="22" s="2" customFormat="1" customHeight="1" spans="3:22">
      <c r="C22" s="2">
        <v>10004</v>
      </c>
      <c r="D22" s="2" t="s">
        <v>51</v>
      </c>
      <c r="E22" s="2" t="s">
        <v>52</v>
      </c>
      <c r="F22" s="2">
        <v>2</v>
      </c>
      <c r="G22" s="2">
        <f t="shared" si="5"/>
        <v>601</v>
      </c>
      <c r="H22" s="2">
        <v>1000</v>
      </c>
      <c r="I22" s="5">
        <f t="shared" si="6"/>
        <v>42250</v>
      </c>
      <c r="J22" s="5">
        <v>250</v>
      </c>
      <c r="K22" s="5">
        <f t="shared" si="7"/>
        <v>10050</v>
      </c>
      <c r="L22" s="6" t="s">
        <v>59</v>
      </c>
      <c r="M22" s="5">
        <f t="shared" si="8"/>
        <v>13918000</v>
      </c>
      <c r="N22" s="6" t="s">
        <v>60</v>
      </c>
      <c r="O22" s="2">
        <v>0.02</v>
      </c>
      <c r="P22" s="2">
        <v>0.02</v>
      </c>
      <c r="Q22" s="2">
        <v>0.02</v>
      </c>
      <c r="R22" s="2">
        <v>0.02</v>
      </c>
      <c r="S22" s="5">
        <f t="shared" si="9"/>
        <v>3900</v>
      </c>
      <c r="T22" s="2">
        <v>5001</v>
      </c>
      <c r="U22" s="2">
        <v>8</v>
      </c>
      <c r="V22" s="2" t="s">
        <v>55</v>
      </c>
    </row>
    <row r="23" s="2" customFormat="1" customHeight="1" spans="3:22">
      <c r="C23" s="2">
        <v>10005</v>
      </c>
      <c r="D23" s="2" t="s">
        <v>51</v>
      </c>
      <c r="E23" s="2" t="s">
        <v>52</v>
      </c>
      <c r="F23" s="2">
        <v>2</v>
      </c>
      <c r="G23" s="2">
        <f t="shared" si="5"/>
        <v>1001</v>
      </c>
      <c r="H23" s="2">
        <v>1500</v>
      </c>
      <c r="I23" s="5">
        <f t="shared" si="6"/>
        <v>142500</v>
      </c>
      <c r="J23" s="5">
        <v>500</v>
      </c>
      <c r="K23" s="5">
        <f t="shared" si="7"/>
        <v>30100</v>
      </c>
      <c r="L23" s="6" t="s">
        <v>61</v>
      </c>
      <c r="M23" s="5">
        <f t="shared" si="8"/>
        <v>54218000</v>
      </c>
      <c r="N23" s="6" t="s">
        <v>62</v>
      </c>
      <c r="O23" s="2">
        <v>0.02</v>
      </c>
      <c r="P23" s="2">
        <v>0.02</v>
      </c>
      <c r="Q23" s="2">
        <v>0.02</v>
      </c>
      <c r="R23" s="2">
        <v>0.02</v>
      </c>
      <c r="S23" s="5">
        <f t="shared" si="9"/>
        <v>7100</v>
      </c>
      <c r="T23" s="2">
        <v>5001</v>
      </c>
      <c r="U23" s="2">
        <v>10</v>
      </c>
      <c r="V23" s="2" t="s">
        <v>55</v>
      </c>
    </row>
    <row r="24" s="2" customFormat="1" customHeight="1" spans="3:22">
      <c r="C24" s="2">
        <v>10006</v>
      </c>
      <c r="D24" s="2" t="s">
        <v>51</v>
      </c>
      <c r="E24" s="2" t="s">
        <v>52</v>
      </c>
      <c r="F24" s="2">
        <v>2</v>
      </c>
      <c r="G24" s="2">
        <f t="shared" si="5"/>
        <v>1501</v>
      </c>
      <c r="H24" s="2">
        <v>2100</v>
      </c>
      <c r="I24" s="5">
        <f t="shared" si="6"/>
        <v>393000</v>
      </c>
      <c r="J24" s="5">
        <v>1000</v>
      </c>
      <c r="K24" s="5">
        <f t="shared" si="7"/>
        <v>80200</v>
      </c>
      <c r="L24" s="6" t="s">
        <v>63</v>
      </c>
      <c r="M24" s="5">
        <f t="shared" si="8"/>
        <v>254818000</v>
      </c>
      <c r="N24" s="6" t="s">
        <v>40</v>
      </c>
      <c r="O24" s="2">
        <v>0.02</v>
      </c>
      <c r="P24" s="2">
        <v>0.02</v>
      </c>
      <c r="Q24" s="2">
        <v>0.02</v>
      </c>
      <c r="R24" s="2">
        <v>0.02</v>
      </c>
      <c r="S24" s="5">
        <f t="shared" si="9"/>
        <v>12100</v>
      </c>
      <c r="T24" s="2">
        <v>5001</v>
      </c>
      <c r="U24" s="2">
        <v>12</v>
      </c>
      <c r="V24" s="2" t="s">
        <v>55</v>
      </c>
    </row>
    <row r="25" s="2" customFormat="1" customHeight="1" spans="3:22">
      <c r="C25" s="2">
        <v>10007</v>
      </c>
      <c r="D25" s="2" t="s">
        <v>51</v>
      </c>
      <c r="E25" s="2" t="s">
        <v>52</v>
      </c>
      <c r="F25" s="2">
        <v>2</v>
      </c>
      <c r="G25" s="2">
        <f t="shared" si="5"/>
        <v>2101</v>
      </c>
      <c r="H25" s="2">
        <v>2800</v>
      </c>
      <c r="I25" s="5">
        <f t="shared" si="6"/>
        <v>994500</v>
      </c>
      <c r="J25" s="5">
        <v>2500</v>
      </c>
      <c r="K25" s="5">
        <f t="shared" si="7"/>
        <v>200500</v>
      </c>
      <c r="L25" s="6" t="s">
        <v>64</v>
      </c>
      <c r="M25" s="5">
        <f t="shared" si="8"/>
        <v>855818000</v>
      </c>
      <c r="N25" s="6" t="s">
        <v>65</v>
      </c>
      <c r="O25" s="2">
        <v>0.02</v>
      </c>
      <c r="P25" s="2">
        <v>0.02</v>
      </c>
      <c r="Q25" s="2">
        <v>0.02</v>
      </c>
      <c r="R25" s="2">
        <v>0.02</v>
      </c>
      <c r="S25" s="5">
        <f t="shared" si="9"/>
        <v>19300</v>
      </c>
      <c r="T25" s="2">
        <v>5001</v>
      </c>
      <c r="U25" s="2">
        <v>14</v>
      </c>
      <c r="V25" s="2" t="s">
        <v>55</v>
      </c>
    </row>
    <row r="26" s="2" customFormat="1" customHeight="1" spans="3:22">
      <c r="C26" s="2">
        <v>10008</v>
      </c>
      <c r="D26" s="2" t="s">
        <v>51</v>
      </c>
      <c r="E26" s="2" t="s">
        <v>52</v>
      </c>
      <c r="F26" s="2">
        <v>2</v>
      </c>
      <c r="G26" s="2">
        <f t="shared" si="5"/>
        <v>2801</v>
      </c>
      <c r="H26" s="2">
        <v>3600</v>
      </c>
      <c r="I26" s="5">
        <f t="shared" si="6"/>
        <v>2747000</v>
      </c>
      <c r="J26" s="5">
        <v>5000</v>
      </c>
      <c r="K26" s="5">
        <f t="shared" si="7"/>
        <v>551000</v>
      </c>
      <c r="L26" s="6" t="s">
        <v>29</v>
      </c>
      <c r="M26" s="5">
        <f t="shared" si="8"/>
        <v>2261818000</v>
      </c>
      <c r="N26" s="6" t="s">
        <v>66</v>
      </c>
      <c r="O26" s="2">
        <v>0.02</v>
      </c>
      <c r="P26" s="2">
        <v>0.02</v>
      </c>
      <c r="Q26" s="2">
        <v>0.02</v>
      </c>
      <c r="R26" s="2">
        <v>0.02</v>
      </c>
      <c r="S26" s="5">
        <f t="shared" si="9"/>
        <v>29100</v>
      </c>
      <c r="T26" s="2">
        <v>5001</v>
      </c>
      <c r="U26" s="2">
        <v>16</v>
      </c>
      <c r="V26" s="2" t="s">
        <v>55</v>
      </c>
    </row>
    <row r="27" s="2" customFormat="1" customHeight="1" spans="3:22">
      <c r="C27" s="2">
        <v>10009</v>
      </c>
      <c r="D27" s="2" t="s">
        <v>51</v>
      </c>
      <c r="E27" s="2" t="s">
        <v>52</v>
      </c>
      <c r="F27" s="2">
        <v>2</v>
      </c>
      <c r="G27" s="2">
        <f t="shared" si="5"/>
        <v>3601</v>
      </c>
      <c r="H27" s="2">
        <v>4500</v>
      </c>
      <c r="I27" s="5">
        <f t="shared" si="6"/>
        <v>6752000</v>
      </c>
      <c r="J27" s="5">
        <v>10000</v>
      </c>
      <c r="K27" s="5">
        <f t="shared" si="7"/>
        <v>1352500</v>
      </c>
      <c r="L27" s="6" t="s">
        <v>67</v>
      </c>
      <c r="M27" s="5">
        <f t="shared" si="8"/>
        <v>8693818000</v>
      </c>
      <c r="N27" s="6" t="s">
        <v>68</v>
      </c>
      <c r="O27" s="2">
        <v>0.02</v>
      </c>
      <c r="P27" s="2">
        <v>0.02</v>
      </c>
      <c r="Q27" s="2">
        <v>0.02</v>
      </c>
      <c r="R27" s="2">
        <v>0.02</v>
      </c>
      <c r="S27" s="5">
        <f t="shared" si="9"/>
        <v>41900</v>
      </c>
      <c r="T27" s="2">
        <v>5001</v>
      </c>
      <c r="U27" s="2">
        <v>18</v>
      </c>
      <c r="V27" s="2" t="s">
        <v>55</v>
      </c>
    </row>
    <row r="28" s="2" customFormat="1" customHeight="1" spans="3:22">
      <c r="C28" s="2">
        <v>10010</v>
      </c>
      <c r="D28" s="2" t="s">
        <v>51</v>
      </c>
      <c r="E28" s="2" t="s">
        <v>52</v>
      </c>
      <c r="F28" s="2">
        <v>2</v>
      </c>
      <c r="G28" s="2">
        <f t="shared" si="5"/>
        <v>4501</v>
      </c>
      <c r="H28" s="2">
        <v>5500</v>
      </c>
      <c r="I28" s="5">
        <f t="shared" si="6"/>
        <v>15767000</v>
      </c>
      <c r="J28" s="5">
        <v>25000</v>
      </c>
      <c r="K28" s="5">
        <f t="shared" si="7"/>
        <v>3605000</v>
      </c>
      <c r="L28" s="6" t="s">
        <v>69</v>
      </c>
      <c r="M28" s="5">
        <f t="shared" si="8"/>
        <v>44753818000</v>
      </c>
      <c r="N28" s="6" t="s">
        <v>70</v>
      </c>
      <c r="O28" s="2">
        <v>0.02</v>
      </c>
      <c r="P28" s="2">
        <v>0.02</v>
      </c>
      <c r="Q28" s="2">
        <v>0.02</v>
      </c>
      <c r="R28" s="2">
        <v>0.02</v>
      </c>
      <c r="S28" s="5">
        <f t="shared" si="9"/>
        <v>58100</v>
      </c>
      <c r="T28" s="2">
        <v>5001</v>
      </c>
      <c r="U28" s="2">
        <v>20</v>
      </c>
      <c r="V28" s="2" t="s">
        <v>55</v>
      </c>
    </row>
    <row r="29" s="2" customFormat="1" customHeight="1" spans="3:22">
      <c r="C29" s="2">
        <v>10011</v>
      </c>
      <c r="D29" s="2" t="s">
        <v>51</v>
      </c>
      <c r="E29" s="2" t="s">
        <v>52</v>
      </c>
      <c r="F29" s="2">
        <v>2</v>
      </c>
      <c r="G29" s="2">
        <f t="shared" si="5"/>
        <v>5501</v>
      </c>
      <c r="H29" s="2">
        <v>6600</v>
      </c>
      <c r="I29" s="5">
        <f t="shared" si="6"/>
        <v>40792000</v>
      </c>
      <c r="J29" s="5">
        <v>50000</v>
      </c>
      <c r="K29" s="5">
        <f t="shared" si="7"/>
        <v>8610000</v>
      </c>
      <c r="L29" s="6" t="s">
        <v>71</v>
      </c>
      <c r="M29" s="5">
        <f t="shared" si="8"/>
        <v>145053818000</v>
      </c>
      <c r="N29" s="6" t="s">
        <v>72</v>
      </c>
      <c r="O29" s="2">
        <v>0.02</v>
      </c>
      <c r="P29" s="2">
        <v>0.02</v>
      </c>
      <c r="Q29" s="2">
        <v>0.02</v>
      </c>
      <c r="R29" s="2">
        <v>0.02</v>
      </c>
      <c r="S29" s="5">
        <f t="shared" si="9"/>
        <v>78100</v>
      </c>
      <c r="T29" s="2">
        <v>5001</v>
      </c>
      <c r="U29" s="2">
        <v>24</v>
      </c>
      <c r="V29" s="2" t="s">
        <v>55</v>
      </c>
    </row>
    <row r="30" s="2" customFormat="1" customHeight="1" spans="3:22">
      <c r="C30" s="2">
        <v>10012</v>
      </c>
      <c r="D30" s="2" t="s">
        <v>51</v>
      </c>
      <c r="E30" s="2" t="s">
        <v>52</v>
      </c>
      <c r="F30" s="2">
        <v>2</v>
      </c>
      <c r="G30" s="2">
        <f t="shared" si="5"/>
        <v>6601</v>
      </c>
      <c r="H30" s="2">
        <v>7800</v>
      </c>
      <c r="I30" s="5">
        <f t="shared" si="6"/>
        <v>95842000</v>
      </c>
      <c r="J30" s="5">
        <v>100000</v>
      </c>
      <c r="K30" s="5">
        <f t="shared" si="7"/>
        <v>19625000</v>
      </c>
      <c r="L30" s="6" t="s">
        <v>73</v>
      </c>
      <c r="M30" s="5">
        <f t="shared" si="8"/>
        <v>585653818000</v>
      </c>
      <c r="N30" s="6" t="s">
        <v>74</v>
      </c>
      <c r="O30" s="2">
        <v>0.02</v>
      </c>
      <c r="P30" s="2">
        <v>0.02</v>
      </c>
      <c r="Q30" s="2">
        <v>0.02</v>
      </c>
      <c r="R30" s="2">
        <v>0.02</v>
      </c>
      <c r="S30" s="5">
        <f t="shared" si="9"/>
        <v>104500</v>
      </c>
      <c r="T30" s="2">
        <v>5001</v>
      </c>
      <c r="U30" s="2">
        <v>28</v>
      </c>
      <c r="V30" s="2" t="s">
        <v>55</v>
      </c>
    </row>
    <row r="31" customFormat="1" customHeight="1" spans="3:22">
      <c r="C31" s="1"/>
      <c r="D31" s="1"/>
      <c r="E31" s="1"/>
      <c r="F31" s="1"/>
      <c r="G31" s="1"/>
      <c r="H31" s="1"/>
      <c r="I31" s="3"/>
      <c r="J31" s="3"/>
      <c r="K31" s="3"/>
      <c r="L31" s="3"/>
      <c r="O31" s="1"/>
      <c r="P31" s="1"/>
      <c r="Q31" s="1"/>
      <c r="R31" s="1"/>
      <c r="T31" s="1"/>
      <c r="U31" s="1"/>
      <c r="V31" s="1"/>
    </row>
    <row r="32" s="2" customFormat="1" customHeight="1" spans="3:22">
      <c r="C32" s="2">
        <v>20001</v>
      </c>
      <c r="D32" s="2" t="s">
        <v>75</v>
      </c>
      <c r="E32" s="2" t="s">
        <v>76</v>
      </c>
      <c r="F32" s="2">
        <v>3</v>
      </c>
      <c r="G32" s="2">
        <v>1</v>
      </c>
      <c r="H32" s="2">
        <v>100</v>
      </c>
      <c r="I32" s="6" t="s">
        <v>64</v>
      </c>
      <c r="J32" s="6" t="s">
        <v>64</v>
      </c>
      <c r="K32" s="6" t="s">
        <v>61</v>
      </c>
      <c r="L32" s="6" t="s">
        <v>61</v>
      </c>
      <c r="M32" s="6" t="s">
        <v>38</v>
      </c>
      <c r="N32" s="6" t="s">
        <v>38</v>
      </c>
      <c r="O32" s="2">
        <v>0.3</v>
      </c>
      <c r="P32" s="2">
        <v>0.3</v>
      </c>
      <c r="Q32" s="2">
        <v>0.3</v>
      </c>
      <c r="R32" s="2">
        <v>0.3</v>
      </c>
      <c r="S32" s="2">
        <v>0</v>
      </c>
      <c r="T32" s="2">
        <v>5002</v>
      </c>
      <c r="U32" s="2">
        <v>1</v>
      </c>
      <c r="V32" s="2" t="s">
        <v>77</v>
      </c>
    </row>
    <row r="33" customHeight="1" spans="3:22">
      <c r="C33" s="2">
        <v>20002</v>
      </c>
      <c r="D33" s="2" t="s">
        <v>75</v>
      </c>
      <c r="E33" s="2" t="s">
        <v>76</v>
      </c>
      <c r="F33" s="2">
        <v>3</v>
      </c>
      <c r="G33" s="2">
        <f t="shared" ref="G33:G39" si="10">H32+1</f>
        <v>101</v>
      </c>
      <c r="H33" s="1">
        <v>200</v>
      </c>
      <c r="I33" s="5">
        <f t="shared" ref="I33:I39" si="11">I32+J32*(H32-G32)+J33</f>
        <v>60000</v>
      </c>
      <c r="J33" s="3">
        <v>10000</v>
      </c>
      <c r="K33" s="5">
        <f t="shared" ref="K33:K39" si="12">K32+L32*(H32-G32)+L33</f>
        <v>12000</v>
      </c>
      <c r="L33" s="3">
        <v>2000</v>
      </c>
      <c r="M33" s="5">
        <f t="shared" ref="M33:M39" si="13">M32+N32*(H32-G32)+N33</f>
        <v>60000000</v>
      </c>
      <c r="N33" s="6" t="s">
        <v>78</v>
      </c>
      <c r="O33" s="2">
        <v>0.3</v>
      </c>
      <c r="P33" s="2">
        <v>0.3</v>
      </c>
      <c r="Q33" s="2">
        <v>0.3</v>
      </c>
      <c r="R33" s="2">
        <v>0.3</v>
      </c>
      <c r="S33" s="5">
        <f t="shared" ref="S33:S39" si="14">S32+U32*(H32-G32+1)</f>
        <v>100</v>
      </c>
      <c r="T33" s="2">
        <v>5002</v>
      </c>
      <c r="U33" s="1">
        <v>1</v>
      </c>
      <c r="V33" s="2" t="s">
        <v>77</v>
      </c>
    </row>
    <row r="34" customHeight="1" spans="3:22">
      <c r="C34" s="2">
        <v>20003</v>
      </c>
      <c r="D34" s="2" t="s">
        <v>75</v>
      </c>
      <c r="E34" s="2" t="s">
        <v>76</v>
      </c>
      <c r="F34" s="2">
        <v>3</v>
      </c>
      <c r="G34" s="2">
        <f t="shared" si="10"/>
        <v>201</v>
      </c>
      <c r="H34" s="1">
        <v>300</v>
      </c>
      <c r="I34" s="5">
        <f t="shared" si="11"/>
        <v>1250000</v>
      </c>
      <c r="J34" s="3">
        <v>200000</v>
      </c>
      <c r="K34" s="5">
        <f t="shared" si="12"/>
        <v>250000</v>
      </c>
      <c r="L34" s="3">
        <v>40000</v>
      </c>
      <c r="M34" s="5">
        <f t="shared" si="13"/>
        <v>1070000000</v>
      </c>
      <c r="N34" s="6" t="s">
        <v>44</v>
      </c>
      <c r="O34" s="2">
        <v>0.3</v>
      </c>
      <c r="P34" s="2">
        <v>0.3</v>
      </c>
      <c r="Q34" s="2">
        <v>0.3</v>
      </c>
      <c r="R34" s="2">
        <v>0.3</v>
      </c>
      <c r="S34" s="5">
        <f t="shared" si="14"/>
        <v>200</v>
      </c>
      <c r="T34" s="2">
        <v>5002</v>
      </c>
      <c r="U34" s="1">
        <v>1</v>
      </c>
      <c r="V34" s="2" t="s">
        <v>77</v>
      </c>
    </row>
    <row r="35" customHeight="1" spans="3:22">
      <c r="C35" s="2">
        <v>20004</v>
      </c>
      <c r="D35" s="2" t="s">
        <v>75</v>
      </c>
      <c r="E35" s="2" t="s">
        <v>76</v>
      </c>
      <c r="F35" s="2">
        <v>3</v>
      </c>
      <c r="G35" s="2">
        <f t="shared" si="10"/>
        <v>301</v>
      </c>
      <c r="H35" s="1">
        <v>400</v>
      </c>
      <c r="I35" s="5">
        <f t="shared" si="11"/>
        <v>21650000</v>
      </c>
      <c r="J35" s="3">
        <v>600000</v>
      </c>
      <c r="K35" s="5">
        <f t="shared" si="12"/>
        <v>4310000</v>
      </c>
      <c r="L35" s="3">
        <v>100000</v>
      </c>
      <c r="M35" s="5">
        <f t="shared" si="13"/>
        <v>3110000000</v>
      </c>
      <c r="N35" s="6" t="s">
        <v>79</v>
      </c>
      <c r="O35" s="2">
        <v>0.3</v>
      </c>
      <c r="P35" s="2">
        <v>0.3</v>
      </c>
      <c r="Q35" s="2">
        <v>0.3</v>
      </c>
      <c r="R35" s="2">
        <v>0.3</v>
      </c>
      <c r="S35" s="5">
        <f t="shared" si="14"/>
        <v>300</v>
      </c>
      <c r="T35" s="2">
        <v>5002</v>
      </c>
      <c r="U35" s="1">
        <v>1</v>
      </c>
      <c r="V35" s="2" t="s">
        <v>77</v>
      </c>
    </row>
    <row r="36" customHeight="1" spans="3:22">
      <c r="C36" s="2">
        <v>20005</v>
      </c>
      <c r="D36" s="2" t="s">
        <v>75</v>
      </c>
      <c r="E36" s="2" t="s">
        <v>76</v>
      </c>
      <c r="F36" s="2">
        <v>3</v>
      </c>
      <c r="G36" s="2">
        <f t="shared" si="10"/>
        <v>401</v>
      </c>
      <c r="H36" s="1">
        <v>500</v>
      </c>
      <c r="I36" s="5">
        <f t="shared" si="11"/>
        <v>83050000</v>
      </c>
      <c r="J36" s="3">
        <v>2000000</v>
      </c>
      <c r="K36" s="5">
        <f t="shared" si="12"/>
        <v>14510000</v>
      </c>
      <c r="L36" s="3">
        <v>300000</v>
      </c>
      <c r="M36" s="5">
        <f t="shared" si="13"/>
        <v>9250000000</v>
      </c>
      <c r="N36" s="6" t="s">
        <v>48</v>
      </c>
      <c r="O36" s="2">
        <v>0.3</v>
      </c>
      <c r="P36" s="2">
        <v>0.3</v>
      </c>
      <c r="Q36" s="2">
        <v>0.3</v>
      </c>
      <c r="R36" s="2">
        <v>0.3</v>
      </c>
      <c r="S36" s="5">
        <f t="shared" si="14"/>
        <v>400</v>
      </c>
      <c r="T36" s="2">
        <v>5002</v>
      </c>
      <c r="U36" s="1">
        <v>1</v>
      </c>
      <c r="V36" s="2" t="s">
        <v>77</v>
      </c>
    </row>
    <row r="37" customHeight="1" spans="3:22">
      <c r="C37" s="2">
        <v>20006</v>
      </c>
      <c r="D37" s="2" t="s">
        <v>75</v>
      </c>
      <c r="E37" s="2" t="s">
        <v>76</v>
      </c>
      <c r="F37" s="2">
        <v>3</v>
      </c>
      <c r="G37" s="2">
        <f t="shared" si="10"/>
        <v>501</v>
      </c>
      <c r="H37" s="1">
        <v>600</v>
      </c>
      <c r="I37" s="5">
        <f t="shared" si="11"/>
        <v>287050000</v>
      </c>
      <c r="J37" s="3">
        <v>6000000</v>
      </c>
      <c r="K37" s="5">
        <f t="shared" si="12"/>
        <v>44310000</v>
      </c>
      <c r="L37" s="3">
        <v>100000</v>
      </c>
      <c r="M37" s="5">
        <f t="shared" si="13"/>
        <v>29650000000</v>
      </c>
      <c r="N37" s="6" t="s">
        <v>80</v>
      </c>
      <c r="O37" s="2">
        <v>0.3</v>
      </c>
      <c r="P37" s="2">
        <v>0.3</v>
      </c>
      <c r="Q37" s="2">
        <v>0.3</v>
      </c>
      <c r="R37" s="2">
        <v>0.3</v>
      </c>
      <c r="S37" s="5">
        <f t="shared" si="14"/>
        <v>500</v>
      </c>
      <c r="T37" s="2">
        <v>5002</v>
      </c>
      <c r="U37" s="1">
        <v>1</v>
      </c>
      <c r="V37" s="2" t="s">
        <v>77</v>
      </c>
    </row>
    <row r="38" customHeight="1" spans="3:22">
      <c r="C38" s="2">
        <v>20007</v>
      </c>
      <c r="D38" s="2" t="s">
        <v>75</v>
      </c>
      <c r="E38" s="2" t="s">
        <v>76</v>
      </c>
      <c r="F38" s="2">
        <v>3</v>
      </c>
      <c r="G38" s="2">
        <f t="shared" si="10"/>
        <v>601</v>
      </c>
      <c r="H38" s="1">
        <v>700</v>
      </c>
      <c r="I38" s="5">
        <f t="shared" si="11"/>
        <v>901050000</v>
      </c>
      <c r="J38" s="3">
        <v>20000000</v>
      </c>
      <c r="K38" s="5">
        <f t="shared" si="12"/>
        <v>54510000</v>
      </c>
      <c r="L38" s="3">
        <v>300000</v>
      </c>
      <c r="M38" s="5">
        <f t="shared" si="13"/>
        <v>91050000000</v>
      </c>
      <c r="N38" s="6" t="s">
        <v>81</v>
      </c>
      <c r="O38" s="2">
        <v>0.3</v>
      </c>
      <c r="P38" s="2">
        <v>0.3</v>
      </c>
      <c r="Q38" s="2">
        <v>0.3</v>
      </c>
      <c r="R38" s="2">
        <v>0.3</v>
      </c>
      <c r="S38" s="5">
        <f t="shared" si="14"/>
        <v>600</v>
      </c>
      <c r="T38" s="2">
        <v>5002</v>
      </c>
      <c r="U38" s="1">
        <v>1</v>
      </c>
      <c r="V38" s="2" t="s">
        <v>77</v>
      </c>
    </row>
    <row r="39" customHeight="1" spans="3:22">
      <c r="C39" s="2">
        <v>20008</v>
      </c>
      <c r="D39" s="2" t="s">
        <v>75</v>
      </c>
      <c r="E39" s="2" t="s">
        <v>76</v>
      </c>
      <c r="F39" s="2">
        <v>3</v>
      </c>
      <c r="G39" s="2">
        <f t="shared" si="10"/>
        <v>701</v>
      </c>
      <c r="H39" s="1">
        <v>800</v>
      </c>
      <c r="I39" s="5">
        <f t="shared" si="11"/>
        <v>2941050000</v>
      </c>
      <c r="J39" s="3">
        <v>60000000</v>
      </c>
      <c r="K39" s="5">
        <f t="shared" si="12"/>
        <v>85210000</v>
      </c>
      <c r="L39" s="3">
        <v>1000000</v>
      </c>
      <c r="M39" s="5">
        <f t="shared" si="13"/>
        <v>295050000000</v>
      </c>
      <c r="N39" s="6" t="s">
        <v>82</v>
      </c>
      <c r="O39" s="2">
        <v>0.3</v>
      </c>
      <c r="P39" s="2">
        <v>0.3</v>
      </c>
      <c r="Q39" s="2">
        <v>0.3</v>
      </c>
      <c r="R39" s="2">
        <v>0.3</v>
      </c>
      <c r="S39" s="5">
        <f t="shared" si="14"/>
        <v>700</v>
      </c>
      <c r="T39" s="2">
        <v>5002</v>
      </c>
      <c r="U39" s="1">
        <v>1</v>
      </c>
      <c r="V39" s="2" t="s">
        <v>77</v>
      </c>
    </row>
    <row r="40" customHeight="1" spans="3:22">
      <c r="N40" s="5"/>
    </row>
    <row r="42" customHeight="1" spans="3:22">
      <c r="F42" s="2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2026-08-23T14:24:36Z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