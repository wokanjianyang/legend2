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egend2\Excel\"/>
    </mc:Choice>
  </mc:AlternateContent>
  <bookViews>
    <workbookView windowHeight="17680"/>
  </bookViews>
  <sheets>
    <sheet name="生成配置" sheetId="2" r:id="rId1"/>
  </sheets>
  <definedNames>
    <definedName name="_xlnm._FilterDatabase" localSheetId="0" hidden="1">生成配置!#REF!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<sst xmlns="http://schemas.openxmlformats.org/spreadsheetml/2006/main" count="149" uniqueCount="61">
  <si>
    <t>#</t>
  </si>
  <si>
    <t>ID</t>
  </si>
  <si>
    <t>MapName</t>
  </si>
  <si>
    <t>MonsterName</t>
  </si>
  <si>
    <t>Type</t>
  </si>
  <si>
    <t>StartLevel</t>
  </si>
  <si>
    <t>EndLevel</t>
  </si>
  <si>
    <t>Atk</t>
  </si>
  <si>
    <t>AtrRise</t>
  </si>
  <si>
    <t>Def</t>
  </si>
  <si>
    <t>DefRise</t>
  </si>
  <si>
    <t>Hp</t>
  </si>
  <si>
    <t>HpRise</t>
  </si>
  <si>
    <t>DamageIncrea</t>
  </si>
  <si>
    <t>DamageResist</t>
  </si>
  <si>
    <t>Accuracy</t>
  </si>
  <si>
    <t>Miss</t>
  </si>
  <si>
    <t>SkipReward</t>
  </si>
  <si>
    <t>RewardId</t>
  </si>
  <si>
    <t>RewardCount</t>
  </si>
  <si>
    <t>Id</t>
  </si>
  <si>
    <t>int</t>
  </si>
  <si>
    <t>string</t>
  </si>
  <si>
    <t>double</t>
  </si>
  <si>
    <t>long</t>
  </si>
  <si>
    <t>金币副本</t>
  </si>
  <si>
    <t>金币小偷</t>
  </si>
  <si>
    <t>10</t>
  </si>
  <si>
    <t>2</t>
  </si>
  <si>
    <t>1000</t>
  </si>
  <si>
    <t>4</t>
  </si>
  <si>
    <t>4000</t>
  </si>
  <si>
    <t>8</t>
  </si>
  <si>
    <t>20000</t>
  </si>
  <si>
    <t>16</t>
  </si>
  <si>
    <t>32</t>
  </si>
  <si>
    <t>200000</t>
  </si>
  <si>
    <t>64</t>
  </si>
  <si>
    <t>500000</t>
  </si>
  <si>
    <t>128</t>
  </si>
  <si>
    <t>1000000</t>
  </si>
  <si>
    <t>强化副本</t>
  </si>
  <si>
    <t>叛逃铁匠</t>
  </si>
  <si>
    <t>20</t>
  </si>
  <si>
    <t>2000</t>
  </si>
  <si>
    <t>强化石副本</t>
  </si>
  <si>
    <t>8000</t>
  </si>
  <si>
    <t>25</t>
  </si>
  <si>
    <t>40000</t>
  </si>
  <si>
    <t>50</t>
  </si>
  <si>
    <t>100000</t>
  </si>
  <si>
    <t>100</t>
  </si>
  <si>
    <t>400000</t>
  </si>
  <si>
    <t>200</t>
  </si>
  <si>
    <t>500</t>
  </si>
  <si>
    <t>2000000</t>
  </si>
  <si>
    <t>精炼副本</t>
  </si>
  <si>
    <t>军需官</t>
  </si>
  <si>
    <t>黑铁石副本</t>
  </si>
  <si>
    <t>10000000</t>
  </si>
  <si>
    <t>200000000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</si>
</sst>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NumberFormat="1" applyFont="1"/>
    <xf numFmtId="0" fontId="1" fillId="0" borderId="0" xfId="0" applyNumberFormat="1" applyFont="1" applyFill="1"/>
    <xf numFmtId="0" fontId="1" fillId="0" borderId="0" xfId="0" applyNumberFormat="1" applyFont="1" applyAlignment="1">
      <alignment horizontal="left"/>
    </xf>
    <xf numFmtId="0" fontId="2" fillId="2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left"/>
    </xf>
    <xf numFmtId="0" fontId="1" fillId="0" borderId="0" xfId="0" applyNumberFormat="1" applyFont="1" applyFill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V30"/>
  <sheetViews>
    <sheetView tabSelected="1" workbookViewId="0">
      <pane ySplit="5" topLeftCell="A6" activePane="bottomLeft" state="frozen"/>
      <selection/>
      <selection pane="bottomLeft" activeCell="W30" sqref="W30"/>
    </sheetView>
  </sheetViews>
  <sheetFormatPr defaultColWidth="9" defaultRowHeight="18" customHeight="1"/>
  <cols>
    <col min="1" max="1" width="8.58333333333333" style="1" customWidth="1"/>
    <col min="2" max="2" width="4.5" style="1" customWidth="1"/>
    <col min="3" max="3" width="7.25" style="1" customWidth="1"/>
    <col min="4" max="4" width="18" style="1" customWidth="1"/>
    <col min="5" max="5" width="18.3333333333333" style="1" customWidth="1"/>
    <col min="6" max="6" width="9.875" style="1" customWidth="1"/>
    <col min="7" max="7" width="11.125" style="1" customWidth="1"/>
    <col min="8" max="8" width="10.1666666666667" style="1" customWidth="1"/>
    <col min="9" max="9" width="14" style="3" customWidth="1"/>
    <col min="10" max="10" width="10.5" style="3" customWidth="1"/>
    <col min="11" max="11" width="10.3333333333333" style="3" customWidth="1"/>
    <col min="12" max="14" width="12.5833333333333" style="3" customWidth="1"/>
    <col min="15" max="15" width="12" style="1" customWidth="1"/>
    <col min="16" max="16" width="12.1666666666667" style="1" customWidth="1"/>
    <col min="17" max="17" width="9.08333333333333" style="1" customWidth="1"/>
    <col min="18" max="18" width="9" style="1" customWidth="1"/>
    <col min="19" max="19" width="11.5833333333333" style="1" customWidth="1"/>
    <col min="20" max="20" width="10.4166666666667" style="1" customWidth="1"/>
    <col min="21" max="21" width="12.4166666666667" style="1" customWidth="1"/>
    <col min="22" max="16384" width="9" style="1"/>
  </cols>
  <sheetData>
    <row r="1" s="1" customFormat="1" customHeight="1" spans="3:22">
      <c r="V1" s="1" t="s">
        <v>0</v>
      </c>
    </row>
    <row r="2" s="1" customFormat="1" customHeight="1" spans="3:22">
      <c r="V2" s="1" t="s">
        <v>0</v>
      </c>
    </row>
    <row r="3" s="1" customFormat="1" customHeight="1" spans="3:22"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19</v>
      </c>
    </row>
    <row r="4" s="1" customFormat="1" customHeight="1" spans="3:22">
      <c r="C4" s="4" t="s">
        <v>20</v>
      </c>
      <c r="D4" s="4" t="s">
        <v>2</v>
      </c>
      <c r="E4" s="4" t="s">
        <v>3</v>
      </c>
      <c r="F4" s="4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4" t="s">
        <v>10</v>
      </c>
      <c r="M4" s="4" t="s">
        <v>11</v>
      </c>
      <c r="N4" s="4" t="s">
        <v>12</v>
      </c>
      <c r="O4" s="4" t="s">
        <v>13</v>
      </c>
      <c r="P4" s="4" t="s">
        <v>14</v>
      </c>
      <c r="Q4" s="4" t="s">
        <v>15</v>
      </c>
      <c r="R4" s="4" t="s">
        <v>16</v>
      </c>
      <c r="S4" s="4" t="s">
        <v>17</v>
      </c>
      <c r="T4" s="4" t="s">
        <v>18</v>
      </c>
      <c r="U4" s="4" t="s">
        <v>19</v>
      </c>
    </row>
    <row r="5" s="1" customFormat="1" customHeight="1" spans="3:22">
      <c r="C5" s="4" t="s">
        <v>21</v>
      </c>
      <c r="D5" s="4" t="s">
        <v>22</v>
      </c>
      <c r="E5" s="4" t="s">
        <v>22</v>
      </c>
      <c r="F5" s="4" t="s">
        <v>21</v>
      </c>
      <c r="G5" s="4" t="s">
        <v>21</v>
      </c>
      <c r="H5" s="4" t="s">
        <v>21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4" t="s">
        <v>22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24</v>
      </c>
      <c r="T5" s="4" t="s">
        <v>21</v>
      </c>
      <c r="U5" s="4" t="s">
        <v>21</v>
      </c>
    </row>
    <row r="6" s="2" customFormat="1" customHeight="1" spans="3:22">
      <c r="C6" s="2">
        <v>1</v>
      </c>
      <c r="D6" s="2" t="s">
        <v>25</v>
      </c>
      <c r="E6" s="2" t="s">
        <v>26</v>
      </c>
      <c r="F6" s="2">
        <v>1</v>
      </c>
      <c r="G6" s="2">
        <v>1</v>
      </c>
      <c r="H6" s="2">
        <v>100</v>
      </c>
      <c r="I6" s="6" t="s">
        <v>27</v>
      </c>
      <c r="J6" s="5">
        <v>10</v>
      </c>
      <c r="K6" s="5">
        <v>2</v>
      </c>
      <c r="L6" s="6" t="s">
        <v>28</v>
      </c>
      <c r="M6" s="6" t="s">
        <v>29</v>
      </c>
      <c r="N6" s="6" t="s">
        <v>29</v>
      </c>
      <c r="O6" s="2">
        <v>0.01</v>
      </c>
      <c r="P6" s="2">
        <v>0.01</v>
      </c>
      <c r="Q6" s="2">
        <v>0.01</v>
      </c>
      <c r="R6" s="2">
        <v>0.01</v>
      </c>
      <c r="S6" s="2">
        <v>0</v>
      </c>
      <c r="T6" s="2">
        <v>0</v>
      </c>
      <c r="U6" s="2">
        <v>5000</v>
      </c>
      <c r="V6" s="2" t="s">
        <v>25</v>
      </c>
    </row>
    <row r="7" s="2" customFormat="1" customHeight="1" spans="3:22">
      <c r="C7" s="2">
        <v>2</v>
      </c>
      <c r="D7" s="2" t="s">
        <v>25</v>
      </c>
      <c r="E7" s="2" t="s">
        <v>26</v>
      </c>
      <c r="F7" s="2">
        <v>1</v>
      </c>
      <c r="G7" s="2">
        <f t="shared" ref="G7:G12" si="0">H6+1</f>
        <v>101</v>
      </c>
      <c r="H7" s="2">
        <v>300</v>
      </c>
      <c r="I7" s="5">
        <f t="shared" ref="I7:I12" si="1">I6+J6*(H6-G6)+J7</f>
        <v>1020</v>
      </c>
      <c r="J7" s="5">
        <v>20</v>
      </c>
      <c r="K7" s="5">
        <f t="shared" ref="K7:K12" si="2">K6+L6*(H6-G6)+L7</f>
        <v>204</v>
      </c>
      <c r="L7" s="6" t="s">
        <v>30</v>
      </c>
      <c r="M7" s="5">
        <f t="shared" ref="M7:M12" si="3">M6+N6*(H6-G6)+N7</f>
        <v>104000</v>
      </c>
      <c r="N7" s="6" t="s">
        <v>31</v>
      </c>
      <c r="O7" s="2">
        <v>0.01</v>
      </c>
      <c r="P7" s="2">
        <v>0.01</v>
      </c>
      <c r="Q7" s="2">
        <v>0.01</v>
      </c>
      <c r="R7" s="2">
        <v>0.01</v>
      </c>
      <c r="S7" s="5">
        <f t="shared" ref="S7:S12" si="4">S6+U6*(H6-G6+1)</f>
        <v>500000</v>
      </c>
      <c r="T7" s="2">
        <v>0</v>
      </c>
      <c r="U7" s="2">
        <v>5000</v>
      </c>
      <c r="V7" s="2" t="s">
        <v>25</v>
      </c>
    </row>
    <row r="8" s="2" customFormat="1" customHeight="1" spans="3:22">
      <c r="C8" s="2">
        <v>3</v>
      </c>
      <c r="D8" s="2" t="s">
        <v>25</v>
      </c>
      <c r="E8" s="2" t="s">
        <v>26</v>
      </c>
      <c r="F8" s="2">
        <v>1</v>
      </c>
      <c r="G8" s="2">
        <f t="shared" si="0"/>
        <v>301</v>
      </c>
      <c r="H8" s="2">
        <v>600</v>
      </c>
      <c r="I8" s="5">
        <f t="shared" si="1"/>
        <v>5040</v>
      </c>
      <c r="J8" s="5">
        <v>40</v>
      </c>
      <c r="K8" s="5">
        <f t="shared" si="2"/>
        <v>1008</v>
      </c>
      <c r="L8" s="6" t="s">
        <v>32</v>
      </c>
      <c r="M8" s="5">
        <f t="shared" si="3"/>
        <v>920000</v>
      </c>
      <c r="N8" s="6" t="s">
        <v>33</v>
      </c>
      <c r="O8" s="2">
        <v>0.01</v>
      </c>
      <c r="P8" s="2">
        <v>0.01</v>
      </c>
      <c r="Q8" s="2">
        <v>0.01</v>
      </c>
      <c r="R8" s="2">
        <v>0.01</v>
      </c>
      <c r="S8" s="5">
        <f t="shared" si="4"/>
        <v>1500000</v>
      </c>
      <c r="T8" s="2">
        <v>0</v>
      </c>
      <c r="U8" s="2">
        <v>8000</v>
      </c>
      <c r="V8" s="2" t="s">
        <v>25</v>
      </c>
    </row>
    <row r="9" s="2" customFormat="1" customHeight="1" spans="3:22">
      <c r="C9" s="2">
        <v>4</v>
      </c>
      <c r="D9" s="2" t="s">
        <v>25</v>
      </c>
      <c r="E9" s="2" t="s">
        <v>26</v>
      </c>
      <c r="F9" s="2">
        <v>1</v>
      </c>
      <c r="G9" s="2">
        <f t="shared" si="0"/>
        <v>601</v>
      </c>
      <c r="H9" s="2">
        <v>1000</v>
      </c>
      <c r="I9" s="5">
        <f t="shared" si="1"/>
        <v>17080</v>
      </c>
      <c r="J9" s="5">
        <v>80</v>
      </c>
      <c r="K9" s="5">
        <f t="shared" si="2"/>
        <v>3416</v>
      </c>
      <c r="L9" s="6" t="s">
        <v>34</v>
      </c>
      <c r="M9" s="5">
        <f t="shared" si="3"/>
        <v>6950000</v>
      </c>
      <c r="N9" s="5">
        <v>50000</v>
      </c>
      <c r="O9" s="2">
        <v>0.01</v>
      </c>
      <c r="P9" s="2">
        <v>0.01</v>
      </c>
      <c r="Q9" s="2">
        <v>0.01</v>
      </c>
      <c r="R9" s="2">
        <v>0.01</v>
      </c>
      <c r="S9" s="5">
        <f t="shared" si="4"/>
        <v>3900000</v>
      </c>
      <c r="T9" s="2">
        <v>0</v>
      </c>
      <c r="U9" s="2">
        <v>8000</v>
      </c>
      <c r="V9" s="2" t="s">
        <v>25</v>
      </c>
    </row>
    <row r="10" s="2" customFormat="1" customHeight="1" spans="3:22">
      <c r="C10" s="2">
        <v>5</v>
      </c>
      <c r="D10" s="2" t="s">
        <v>25</v>
      </c>
      <c r="E10" s="2" t="s">
        <v>26</v>
      </c>
      <c r="F10" s="2">
        <v>1</v>
      </c>
      <c r="G10" s="2">
        <f t="shared" si="0"/>
        <v>1001</v>
      </c>
      <c r="H10" s="2">
        <v>1500</v>
      </c>
      <c r="I10" s="5">
        <f t="shared" si="1"/>
        <v>49160</v>
      </c>
      <c r="J10" s="5">
        <v>160</v>
      </c>
      <c r="K10" s="5">
        <f t="shared" si="2"/>
        <v>9832</v>
      </c>
      <c r="L10" s="6" t="s">
        <v>35</v>
      </c>
      <c r="M10" s="5">
        <f t="shared" si="3"/>
        <v>27100000</v>
      </c>
      <c r="N10" s="6" t="s">
        <v>36</v>
      </c>
      <c r="O10" s="2">
        <v>0.01</v>
      </c>
      <c r="P10" s="2">
        <v>0.01</v>
      </c>
      <c r="Q10" s="2">
        <v>0.01</v>
      </c>
      <c r="R10" s="2">
        <v>0.01</v>
      </c>
      <c r="S10" s="5">
        <f t="shared" si="4"/>
        <v>7100000</v>
      </c>
      <c r="T10" s="2">
        <v>0</v>
      </c>
      <c r="U10" s="2">
        <v>10000</v>
      </c>
      <c r="V10" s="2" t="s">
        <v>25</v>
      </c>
    </row>
    <row r="11" s="2" customFormat="1" customHeight="1" spans="3:22">
      <c r="C11" s="2">
        <v>6</v>
      </c>
      <c r="D11" s="2" t="s">
        <v>25</v>
      </c>
      <c r="E11" s="2" t="s">
        <v>26</v>
      </c>
      <c r="F11" s="2">
        <v>1</v>
      </c>
      <c r="G11" s="2">
        <f t="shared" si="0"/>
        <v>1501</v>
      </c>
      <c r="H11" s="2">
        <v>2100</v>
      </c>
      <c r="I11" s="5">
        <f t="shared" si="1"/>
        <v>129320</v>
      </c>
      <c r="J11" s="5">
        <v>320</v>
      </c>
      <c r="K11" s="5">
        <f t="shared" si="2"/>
        <v>25864</v>
      </c>
      <c r="L11" s="6" t="s">
        <v>37</v>
      </c>
      <c r="M11" s="5">
        <f t="shared" si="3"/>
        <v>127400000</v>
      </c>
      <c r="N11" s="6" t="s">
        <v>38</v>
      </c>
      <c r="O11" s="2">
        <v>0.01</v>
      </c>
      <c r="P11" s="2">
        <v>0.01</v>
      </c>
      <c r="Q11" s="2">
        <v>0.01</v>
      </c>
      <c r="R11" s="2">
        <v>0.01</v>
      </c>
      <c r="S11" s="5">
        <f t="shared" si="4"/>
        <v>12100000</v>
      </c>
      <c r="T11" s="2">
        <v>0</v>
      </c>
      <c r="U11" s="2">
        <v>12000</v>
      </c>
      <c r="V11" s="2" t="s">
        <v>25</v>
      </c>
    </row>
    <row r="12" s="2" customFormat="1" customHeight="1" spans="3:22">
      <c r="C12" s="2">
        <v>7</v>
      </c>
      <c r="D12" s="2" t="s">
        <v>25</v>
      </c>
      <c r="E12" s="2" t="s">
        <v>26</v>
      </c>
      <c r="F12" s="2">
        <v>1</v>
      </c>
      <c r="G12" s="2">
        <f t="shared" si="0"/>
        <v>2101</v>
      </c>
      <c r="H12" s="2">
        <v>2800</v>
      </c>
      <c r="I12" s="5">
        <f t="shared" si="1"/>
        <v>321640</v>
      </c>
      <c r="J12" s="5">
        <v>640</v>
      </c>
      <c r="K12" s="5">
        <f t="shared" si="2"/>
        <v>64328</v>
      </c>
      <c r="L12" s="6" t="s">
        <v>39</v>
      </c>
      <c r="M12" s="5">
        <f t="shared" si="3"/>
        <v>427900000</v>
      </c>
      <c r="N12" s="6" t="s">
        <v>40</v>
      </c>
      <c r="O12" s="2">
        <v>0.01</v>
      </c>
      <c r="P12" s="2">
        <v>0.01</v>
      </c>
      <c r="Q12" s="2">
        <v>0.01</v>
      </c>
      <c r="R12" s="2">
        <v>0.01</v>
      </c>
      <c r="S12" s="5">
        <f t="shared" si="4"/>
        <v>19300000</v>
      </c>
      <c r="T12" s="2">
        <v>0</v>
      </c>
      <c r="U12" s="2">
        <v>14000</v>
      </c>
      <c r="V12" s="2" t="s">
        <v>25</v>
      </c>
    </row>
    <row r="13" s="2" customFormat="1" customHeight="1" spans="3:22">
      <c r="I13" s="5"/>
      <c r="J13" s="5"/>
      <c r="K13" s="5"/>
      <c r="L13" s="5"/>
      <c r="M13" s="5"/>
      <c r="N13" s="5"/>
    </row>
    <row r="14" s="2" customFormat="1" customHeight="1" spans="3:22">
      <c r="C14" s="2">
        <v>10001</v>
      </c>
      <c r="D14" s="2" t="s">
        <v>41</v>
      </c>
      <c r="E14" s="2" t="s">
        <v>42</v>
      </c>
      <c r="F14" s="2">
        <v>2</v>
      </c>
      <c r="G14" s="2">
        <v>1</v>
      </c>
      <c r="H14" s="2">
        <v>100</v>
      </c>
      <c r="I14" s="6" t="s">
        <v>43</v>
      </c>
      <c r="J14" s="6" t="s">
        <v>43</v>
      </c>
      <c r="K14" s="5">
        <v>5</v>
      </c>
      <c r="L14" s="5">
        <v>5</v>
      </c>
      <c r="M14" s="6" t="s">
        <v>33</v>
      </c>
      <c r="N14" s="6" t="s">
        <v>44</v>
      </c>
      <c r="O14" s="2">
        <v>0.02</v>
      </c>
      <c r="P14" s="2">
        <v>0.02</v>
      </c>
      <c r="Q14" s="2">
        <v>0.02</v>
      </c>
      <c r="R14" s="2">
        <v>0.02</v>
      </c>
      <c r="S14" s="2">
        <v>0</v>
      </c>
      <c r="T14" s="2">
        <v>5001</v>
      </c>
      <c r="U14" s="2">
        <v>5</v>
      </c>
      <c r="V14" s="2" t="s">
        <v>45</v>
      </c>
    </row>
    <row r="15" s="2" customFormat="1" customHeight="1" spans="3:22">
      <c r="C15" s="2">
        <v>10002</v>
      </c>
      <c r="D15" s="2" t="s">
        <v>41</v>
      </c>
      <c r="E15" s="2" t="s">
        <v>42</v>
      </c>
      <c r="F15" s="2">
        <v>2</v>
      </c>
      <c r="G15" s="2">
        <f t="shared" ref="G15:G20" si="5">H14+1</f>
        <v>101</v>
      </c>
      <c r="H15" s="2">
        <v>300</v>
      </c>
      <c r="I15" s="5">
        <f t="shared" ref="I15:I20" si="6">I14+J14*(H14-G14)+J15</f>
        <v>2050</v>
      </c>
      <c r="J15" s="5">
        <v>50</v>
      </c>
      <c r="K15" s="5">
        <f t="shared" ref="K15:K20" si="7">K14+L14*(H14-G14)+L15</f>
        <v>510</v>
      </c>
      <c r="L15" s="6" t="s">
        <v>27</v>
      </c>
      <c r="M15" s="5">
        <f t="shared" ref="M15:M20" si="8">M14+N14*(H14-G14)+N15</f>
        <v>226000</v>
      </c>
      <c r="N15" s="6" t="s">
        <v>46</v>
      </c>
      <c r="O15" s="2">
        <v>0.02</v>
      </c>
      <c r="P15" s="2">
        <v>0.02</v>
      </c>
      <c r="Q15" s="2">
        <v>0.02</v>
      </c>
      <c r="R15" s="2">
        <v>0.02</v>
      </c>
      <c r="S15" s="5">
        <f t="shared" ref="S15:S20" si="9">S14+U14*(H14-G14+1)</f>
        <v>500</v>
      </c>
      <c r="T15" s="2">
        <v>5001</v>
      </c>
      <c r="U15" s="2">
        <v>5</v>
      </c>
      <c r="V15" s="2" t="s">
        <v>45</v>
      </c>
    </row>
    <row r="16" s="2" customFormat="1" customHeight="1" spans="3:22">
      <c r="C16" s="2">
        <v>10003</v>
      </c>
      <c r="D16" s="2" t="s">
        <v>41</v>
      </c>
      <c r="E16" s="2" t="s">
        <v>42</v>
      </c>
      <c r="F16" s="2">
        <v>2</v>
      </c>
      <c r="G16" s="2">
        <f t="shared" si="5"/>
        <v>301</v>
      </c>
      <c r="H16" s="2">
        <v>600</v>
      </c>
      <c r="I16" s="5">
        <f t="shared" si="6"/>
        <v>12100</v>
      </c>
      <c r="J16" s="5">
        <v>100</v>
      </c>
      <c r="K16" s="5">
        <f t="shared" si="7"/>
        <v>2525</v>
      </c>
      <c r="L16" s="6" t="s">
        <v>47</v>
      </c>
      <c r="M16" s="5">
        <f t="shared" si="8"/>
        <v>1858000</v>
      </c>
      <c r="N16" s="6" t="s">
        <v>48</v>
      </c>
      <c r="O16" s="2">
        <v>0.02</v>
      </c>
      <c r="P16" s="2">
        <v>0.02</v>
      </c>
      <c r="Q16" s="2">
        <v>0.02</v>
      </c>
      <c r="R16" s="2">
        <v>0.02</v>
      </c>
      <c r="S16" s="5">
        <f t="shared" si="9"/>
        <v>1500</v>
      </c>
      <c r="T16" s="2">
        <v>5001</v>
      </c>
      <c r="U16" s="2">
        <v>8</v>
      </c>
      <c r="V16" s="2" t="s">
        <v>45</v>
      </c>
    </row>
    <row r="17" s="2" customFormat="1" customHeight="1" spans="3:22">
      <c r="C17" s="2">
        <v>10004</v>
      </c>
      <c r="D17" s="2" t="s">
        <v>41</v>
      </c>
      <c r="E17" s="2" t="s">
        <v>42</v>
      </c>
      <c r="F17" s="2">
        <v>2</v>
      </c>
      <c r="G17" s="2">
        <f t="shared" si="5"/>
        <v>601</v>
      </c>
      <c r="H17" s="2">
        <v>1000</v>
      </c>
      <c r="I17" s="5">
        <f t="shared" si="6"/>
        <v>42250</v>
      </c>
      <c r="J17" s="5">
        <v>250</v>
      </c>
      <c r="K17" s="5">
        <f t="shared" si="7"/>
        <v>10050</v>
      </c>
      <c r="L17" s="6" t="s">
        <v>49</v>
      </c>
      <c r="M17" s="5">
        <f t="shared" si="8"/>
        <v>13918000</v>
      </c>
      <c r="N17" s="6" t="s">
        <v>50</v>
      </c>
      <c r="O17" s="2">
        <v>0.02</v>
      </c>
      <c r="P17" s="2">
        <v>0.02</v>
      </c>
      <c r="Q17" s="2">
        <v>0.02</v>
      </c>
      <c r="R17" s="2">
        <v>0.02</v>
      </c>
      <c r="S17" s="5">
        <f t="shared" si="9"/>
        <v>3900</v>
      </c>
      <c r="T17" s="2">
        <v>5001</v>
      </c>
      <c r="U17" s="2">
        <v>8</v>
      </c>
      <c r="V17" s="2" t="s">
        <v>45</v>
      </c>
    </row>
    <row r="18" s="2" customFormat="1" customHeight="1" spans="3:22">
      <c r="C18" s="2">
        <v>10005</v>
      </c>
      <c r="D18" s="2" t="s">
        <v>41</v>
      </c>
      <c r="E18" s="2" t="s">
        <v>42</v>
      </c>
      <c r="F18" s="2">
        <v>2</v>
      </c>
      <c r="G18" s="2">
        <f t="shared" si="5"/>
        <v>1001</v>
      </c>
      <c r="H18" s="2">
        <v>1500</v>
      </c>
      <c r="I18" s="5">
        <f t="shared" si="6"/>
        <v>142500</v>
      </c>
      <c r="J18" s="5">
        <v>500</v>
      </c>
      <c r="K18" s="5">
        <f t="shared" si="7"/>
        <v>30100</v>
      </c>
      <c r="L18" s="6" t="s">
        <v>51</v>
      </c>
      <c r="M18" s="5">
        <f t="shared" si="8"/>
        <v>54218000</v>
      </c>
      <c r="N18" s="6" t="s">
        <v>52</v>
      </c>
      <c r="O18" s="2">
        <v>0.02</v>
      </c>
      <c r="P18" s="2">
        <v>0.02</v>
      </c>
      <c r="Q18" s="2">
        <v>0.02</v>
      </c>
      <c r="R18" s="2">
        <v>0.02</v>
      </c>
      <c r="S18" s="5">
        <f t="shared" si="9"/>
        <v>7100</v>
      </c>
      <c r="T18" s="2">
        <v>5001</v>
      </c>
      <c r="U18" s="2">
        <v>10</v>
      </c>
      <c r="V18" s="2" t="s">
        <v>45</v>
      </c>
    </row>
    <row r="19" s="2" customFormat="1" customHeight="1" spans="3:22">
      <c r="C19" s="2">
        <v>10006</v>
      </c>
      <c r="D19" s="2" t="s">
        <v>41</v>
      </c>
      <c r="E19" s="2" t="s">
        <v>42</v>
      </c>
      <c r="F19" s="2">
        <v>2</v>
      </c>
      <c r="G19" s="2">
        <f t="shared" si="5"/>
        <v>1501</v>
      </c>
      <c r="H19" s="2">
        <v>2100</v>
      </c>
      <c r="I19" s="5">
        <f t="shared" si="6"/>
        <v>393000</v>
      </c>
      <c r="J19" s="5">
        <v>1000</v>
      </c>
      <c r="K19" s="5">
        <f t="shared" si="7"/>
        <v>80200</v>
      </c>
      <c r="L19" s="6" t="s">
        <v>53</v>
      </c>
      <c r="M19" s="5">
        <f t="shared" si="8"/>
        <v>254818000</v>
      </c>
      <c r="N19" s="6" t="s">
        <v>40</v>
      </c>
      <c r="O19" s="2">
        <v>0.02</v>
      </c>
      <c r="P19" s="2">
        <v>0.02</v>
      </c>
      <c r="Q19" s="2">
        <v>0.02</v>
      </c>
      <c r="R19" s="2">
        <v>0.02</v>
      </c>
      <c r="S19" s="5">
        <f t="shared" si="9"/>
        <v>12100</v>
      </c>
      <c r="T19" s="2">
        <v>5001</v>
      </c>
      <c r="U19" s="2">
        <v>12</v>
      </c>
      <c r="V19" s="2" t="s">
        <v>45</v>
      </c>
    </row>
    <row r="20" s="2" customFormat="1" customHeight="1" spans="3:22">
      <c r="C20" s="2">
        <v>10007</v>
      </c>
      <c r="D20" s="2" t="s">
        <v>41</v>
      </c>
      <c r="E20" s="2" t="s">
        <v>42</v>
      </c>
      <c r="F20" s="2">
        <v>2</v>
      </c>
      <c r="G20" s="2">
        <f t="shared" si="5"/>
        <v>2101</v>
      </c>
      <c r="H20" s="2">
        <v>2800</v>
      </c>
      <c r="I20" s="5">
        <f t="shared" si="6"/>
        <v>994500</v>
      </c>
      <c r="J20" s="5">
        <v>2500</v>
      </c>
      <c r="K20" s="5">
        <f t="shared" si="7"/>
        <v>200500</v>
      </c>
      <c r="L20" s="6" t="s">
        <v>54</v>
      </c>
      <c r="M20" s="5">
        <f t="shared" si="8"/>
        <v>855818000</v>
      </c>
      <c r="N20" s="6" t="s">
        <v>55</v>
      </c>
      <c r="O20" s="2">
        <v>0.02</v>
      </c>
      <c r="P20" s="2">
        <v>0.02</v>
      </c>
      <c r="Q20" s="2">
        <v>0.02</v>
      </c>
      <c r="R20" s="2">
        <v>0.02</v>
      </c>
      <c r="S20" s="5">
        <f t="shared" si="9"/>
        <v>19300</v>
      </c>
      <c r="T20" s="2">
        <v>5001</v>
      </c>
      <c r="U20" s="2">
        <v>14</v>
      </c>
      <c r="V20" s="2" t="s">
        <v>45</v>
      </c>
    </row>
    <row r="21" customFormat="1" customHeight="1" spans="3:22">
      <c r="C21" s="1"/>
      <c r="D21" s="1"/>
      <c r="E21" s="1"/>
      <c r="F21" s="1"/>
      <c r="G21" s="1"/>
      <c r="H21" s="1"/>
      <c r="I21" s="3"/>
      <c r="J21" s="3"/>
      <c r="K21" s="3"/>
      <c r="L21" s="3"/>
      <c r="M21" s="3"/>
      <c r="N21" s="5"/>
      <c r="O21" s="1"/>
      <c r="P21" s="1"/>
      <c r="Q21" s="1"/>
      <c r="R21" s="1"/>
      <c r="T21" s="1"/>
      <c r="U21" s="1"/>
      <c r="V21" s="1"/>
    </row>
    <row r="22" s="2" customFormat="1" customHeight="1" spans="3:22">
      <c r="C22" s="2">
        <v>20001</v>
      </c>
      <c r="D22" s="2" t="s">
        <v>56</v>
      </c>
      <c r="E22" s="2" t="s">
        <v>57</v>
      </c>
      <c r="F22" s="2">
        <v>3</v>
      </c>
      <c r="G22" s="2">
        <v>1</v>
      </c>
      <c r="H22" s="2">
        <v>100</v>
      </c>
      <c r="I22" s="6" t="s">
        <v>54</v>
      </c>
      <c r="J22" s="6" t="s">
        <v>54</v>
      </c>
      <c r="K22" s="6" t="s">
        <v>51</v>
      </c>
      <c r="L22" s="6" t="s">
        <v>51</v>
      </c>
      <c r="M22" s="6" t="s">
        <v>38</v>
      </c>
      <c r="N22" s="6" t="s">
        <v>38</v>
      </c>
      <c r="O22" s="2">
        <v>0.3</v>
      </c>
      <c r="P22" s="2">
        <v>0.3</v>
      </c>
      <c r="Q22" s="2">
        <v>0.3</v>
      </c>
      <c r="R22" s="2">
        <v>0.3</v>
      </c>
      <c r="T22" s="2">
        <v>5002</v>
      </c>
      <c r="U22" s="2">
        <v>1</v>
      </c>
      <c r="V22" s="2" t="s">
        <v>58</v>
      </c>
    </row>
    <row r="23" customHeight="1" spans="3:22">
      <c r="C23" s="2">
        <v>20002</v>
      </c>
      <c r="D23" s="2" t="s">
        <v>56</v>
      </c>
      <c r="E23" s="2" t="s">
        <v>57</v>
      </c>
      <c r="F23" s="2">
        <v>3</v>
      </c>
      <c r="G23" s="1">
        <v>101</v>
      </c>
      <c r="H23" s="1">
        <v>200</v>
      </c>
      <c r="I23" s="5">
        <f>I22+J22*(H22-G22)+J23</f>
        <v>60000</v>
      </c>
      <c r="J23" s="3">
        <v>10000</v>
      </c>
      <c r="K23" s="5">
        <f>K22+L22*(H22-G22)+L23</f>
        <v>12000</v>
      </c>
      <c r="L23" s="3">
        <v>2000</v>
      </c>
      <c r="M23" s="5">
        <f>M22+N22*(H22-G22)+N23</f>
        <v>60000000</v>
      </c>
      <c r="N23" s="6" t="s">
        <v>59</v>
      </c>
      <c r="O23" s="2">
        <v>0.3</v>
      </c>
      <c r="P23" s="2">
        <v>0.3</v>
      </c>
      <c r="Q23" s="2">
        <v>0.3</v>
      </c>
      <c r="R23" s="2">
        <v>0.3</v>
      </c>
      <c r="S23" s="2"/>
      <c r="T23" s="2">
        <v>5002</v>
      </c>
      <c r="U23" s="1">
        <v>1</v>
      </c>
      <c r="V23" s="2" t="s">
        <v>58</v>
      </c>
    </row>
    <row r="24" customHeight="1" spans="3:22">
      <c r="C24" s="2">
        <v>20003</v>
      </c>
      <c r="D24" s="2" t="s">
        <v>56</v>
      </c>
      <c r="E24" s="2" t="s">
        <v>57</v>
      </c>
      <c r="F24" s="2">
        <v>3</v>
      </c>
      <c r="G24" s="1">
        <v>201</v>
      </c>
      <c r="H24" s="1">
        <v>300</v>
      </c>
      <c r="I24" s="5">
        <f>I23+J23*(H23-G23)+J24</f>
        <v>1250000</v>
      </c>
      <c r="J24" s="3">
        <v>200000</v>
      </c>
      <c r="K24" s="5">
        <f>K23+L23*(H23-G23)+L24</f>
        <v>250000</v>
      </c>
      <c r="L24" s="3">
        <v>40000</v>
      </c>
      <c r="M24" s="5">
        <f>M23+N23*(H23-G23)+N24</f>
        <v>1250000000</v>
      </c>
      <c r="N24" s="6" t="s">
        <v>60</v>
      </c>
      <c r="O24" s="2">
        <v>0.3</v>
      </c>
      <c r="P24" s="2">
        <v>0.3</v>
      </c>
      <c r="Q24" s="2">
        <v>0.3</v>
      </c>
      <c r="R24" s="2">
        <v>0.3</v>
      </c>
      <c r="S24" s="2"/>
      <c r="T24" s="2">
        <v>5002</v>
      </c>
      <c r="U24" s="1">
        <v>1</v>
      </c>
      <c r="V24" s="2" t="s">
        <v>58</v>
      </c>
    </row>
    <row r="29" customHeight="1" spans="3:22">
      <c r="N29" s="5"/>
    </row>
    <row r="30" customHeight="1" spans="3:22">
      <c r="N30" s="5"/>
    </row>
  </sheetData>
  <dataValidations count="1">
    <dataValidation type="custom" allowBlank="1" showErrorMessage="1" errorTitle="拒绝重复输入" error="当前输入的内容，与本区域的其他单元格内容重复。" sqref="C3:U5" errorStyle="warning">
      <formula1>COUNTIF($A:$A,C3)&lt;2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生成配置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2026-07-29T07:46:06Z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66F39FE80FFA40759E47775459CB980C_13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