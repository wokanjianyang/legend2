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<sst xmlns="http://schemas.openxmlformats.org/spreadsheetml/2006/main" count="95" uniqueCount="43">
  <si>
    <t>ID</t>
  </si>
  <si>
    <t>Layer</t>
  </si>
  <si>
    <t>StartLevel</t>
  </si>
  <si>
    <t>EndLevel</t>
  </si>
  <si>
    <t>Atk</t>
  </si>
  <si>
    <t>RiseAtk</t>
  </si>
  <si>
    <t>Def</t>
  </si>
  <si>
    <t>RiseDef</t>
  </si>
  <si>
    <t>Hp</t>
  </si>
  <si>
    <t>RiseHp</t>
  </si>
  <si>
    <t>DamageIncrea</t>
  </si>
  <si>
    <t>DiRise</t>
  </si>
  <si>
    <t>DamageResist</t>
  </si>
  <si>
    <t>DrRise</t>
  </si>
  <si>
    <t>CritRate</t>
  </si>
  <si>
    <t>CrRise</t>
  </si>
  <si>
    <t>CritDamage</t>
  </si>
  <si>
    <t>CrdRise</t>
  </si>
  <si>
    <t>Accuracy</t>
  </si>
  <si>
    <t>RiseAccuracy</t>
  </si>
  <si>
    <t>Miss</t>
  </si>
  <si>
    <t>RiseMiss</t>
  </si>
  <si>
    <t>Lucky</t>
  </si>
  <si>
    <t>Curse</t>
  </si>
  <si>
    <t>Speed</t>
  </si>
  <si>
    <t>Id</t>
  </si>
  <si>
    <t>int</t>
  </si>
  <si>
    <t>string</t>
  </si>
  <si>
    <t>double</t>
  </si>
  <si>
    <t>400</t>
  </si>
  <si>
    <t>1.0116</t>
  </si>
  <si>
    <t>80</t>
  </si>
  <si>
    <t>20E+4</t>
  </si>
  <si>
    <t>1.0151</t>
  </si>
  <si>
    <t>4E+7</t>
  </si>
  <si>
    <t>8E+6</t>
  </si>
  <si>
    <t>64E+10</t>
  </si>
  <si>
    <t>4E+12</t>
  </si>
  <si>
    <t>8E+11</t>
  </si>
  <si>
    <t>68E+17</t>
  </si>
  <si>
    <t>1.0163</t>
  </si>
  <si>
    <t>#</t>
  </si>
  <si>
    <t>71E+24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</si>
</sst>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6897BB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NumberFormat="1" applyFont="1"/>
    <xf numFmtId="0" fontId="1" fillId="0" borderId="0" xfId="0" applyNumberFormat="1" applyFont="1" applyFill="1"/>
    <xf numFmtId="0" fontId="1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left"/>
    </xf>
    <xf numFmtId="0" fontId="3" fillId="0" borderId="0" xfId="0" applyFont="1"/>
    <xf numFmtId="0" fontId="1" fillId="0" borderId="0" xfId="0" applyNumberFormat="1" applyFont="1" applyFill="1" applyAlignment="1" quotePrefix="1">
      <alignment horizontal="left"/>
    </xf>
    <xf numFmtId="0" fontId="3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workbookViewId="0">
      <pane ySplit="5" topLeftCell="A6" activePane="bottomLeft" state="frozen"/>
      <selection/>
      <selection pane="bottomLeft" activeCell="J14" sqref="J14"/>
    </sheetView>
  </sheetViews>
  <sheetFormatPr defaultColWidth="9" defaultRowHeight="18" customHeight="1"/>
  <cols>
    <col min="1" max="1" width="8.58333333333333" style="1" customWidth="1"/>
    <col min="2" max="2" width="4.5" style="1" customWidth="1"/>
    <col min="3" max="3" width="7.25" style="1" customWidth="1"/>
    <col min="4" max="4" width="9.875" style="1" customWidth="1"/>
    <col min="5" max="5" width="11.125" style="1" customWidth="1"/>
    <col min="6" max="6" width="10.1666666666667" style="1" customWidth="1"/>
    <col min="7" max="7" width="15.9166666666667" style="3" customWidth="1"/>
    <col min="8" max="8" width="8.41666666666667" style="3" customWidth="1"/>
    <col min="9" max="9" width="10.3333333333333" style="3" customWidth="1"/>
    <col min="10" max="10" width="10.1666666666667" style="3" customWidth="1"/>
    <col min="11" max="11" width="15.8333333333333" style="3" customWidth="1"/>
    <col min="12" max="12" width="9.58333333333333" style="3" customWidth="1"/>
    <col min="13" max="14" width="12" style="1" customWidth="1"/>
    <col min="15" max="16" width="12.1666666666667" style="1" customWidth="1"/>
    <col min="17" max="18" width="8.66666666666667" style="1" customWidth="1"/>
    <col min="19" max="20" width="10" style="1" customWidth="1"/>
    <col min="21" max="21" width="9.08333333333333" style="1" customWidth="1"/>
    <col min="22" max="22" width="9" style="1" customWidth="1"/>
    <col min="23" max="23" width="7.25" style="1" customWidth="1"/>
    <col min="24" max="24" width="10.5" style="1" customWidth="1"/>
    <col min="25" max="26" width="6.33333333333333" style="1" customWidth="1"/>
    <col min="27" max="27" width="8.375" style="1" customWidth="1"/>
    <col min="28" max="16384" width="9" style="1"/>
  </cols>
  <sheetData>
    <row r="1" s="1" customFormat="1" customHeight="1"/>
    <row r="2" s="1" customFormat="1" customHeight="1"/>
    <row r="3" s="1" customFormat="1" customHeight="1" spans="1:27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4" t="s">
        <v>22</v>
      </c>
      <c r="Z3" s="4" t="s">
        <v>23</v>
      </c>
      <c r="AA3" s="4" t="s">
        <v>24</v>
      </c>
    </row>
    <row r="4" s="1" customFormat="1" customHeight="1" spans="1:27">
      <c r="C4" s="4" t="s">
        <v>25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4" t="s">
        <v>24</v>
      </c>
    </row>
    <row r="5" s="1" customFormat="1" customHeight="1" spans="1:27">
      <c r="C5" s="4" t="s">
        <v>26</v>
      </c>
      <c r="D5" s="4" t="s">
        <v>26</v>
      </c>
      <c r="E5" s="4" t="s">
        <v>26</v>
      </c>
      <c r="F5" s="4" t="s">
        <v>26</v>
      </c>
      <c r="G5" s="4" t="s">
        <v>27</v>
      </c>
      <c r="H5" s="4" t="s">
        <v>28</v>
      </c>
      <c r="I5" s="4" t="s">
        <v>27</v>
      </c>
      <c r="J5" s="4" t="s">
        <v>28</v>
      </c>
      <c r="K5" s="4" t="s">
        <v>27</v>
      </c>
      <c r="L5" s="4" t="s">
        <v>28</v>
      </c>
      <c r="M5" s="4" t="s">
        <v>26</v>
      </c>
      <c r="N5" s="4" t="s">
        <v>28</v>
      </c>
      <c r="O5" s="4" t="s">
        <v>26</v>
      </c>
      <c r="P5" s="4" t="s">
        <v>28</v>
      </c>
      <c r="Q5" s="4" t="s">
        <v>26</v>
      </c>
      <c r="R5" s="4" t="s">
        <v>28</v>
      </c>
      <c r="S5" s="4" t="s">
        <v>26</v>
      </c>
      <c r="T5" s="4" t="s">
        <v>28</v>
      </c>
      <c r="U5" s="4" t="s">
        <v>26</v>
      </c>
      <c r="V5" s="4" t="s">
        <v>28</v>
      </c>
      <c r="W5" s="4" t="s">
        <v>26</v>
      </c>
      <c r="X5" s="4" t="s">
        <v>28</v>
      </c>
      <c r="Y5" s="4" t="s">
        <v>26</v>
      </c>
      <c r="Z5" s="4" t="s">
        <v>26</v>
      </c>
      <c r="AA5" s="4" t="s">
        <v>26</v>
      </c>
    </row>
    <row r="6" s="2" customFormat="1" customHeight="1" spans="1:27">
      <c r="C6" s="2">
        <v>1</v>
      </c>
      <c r="D6" s="2">
        <v>1</v>
      </c>
      <c r="E6" s="2">
        <v>1</v>
      </c>
      <c r="F6" s="2">
        <v>1000</v>
      </c>
      <c r="G6" s="7" t="s">
        <v>29</v>
      </c>
      <c r="H6" s="7" t="s">
        <v>30</v>
      </c>
      <c r="I6" s="7" t="s">
        <v>31</v>
      </c>
      <c r="J6" s="7" t="s">
        <v>30</v>
      </c>
      <c r="K6" s="7" t="s">
        <v>32</v>
      </c>
      <c r="L6" s="8" t="s">
        <v>33</v>
      </c>
      <c r="M6" s="2">
        <v>0</v>
      </c>
      <c r="N6" s="2">
        <v>0</v>
      </c>
      <c r="O6" s="2">
        <v>0</v>
      </c>
      <c r="P6" s="2">
        <v>0</v>
      </c>
      <c r="Q6" s="2">
        <v>10</v>
      </c>
      <c r="R6" s="2">
        <v>0.01</v>
      </c>
      <c r="S6" s="2">
        <v>50</v>
      </c>
      <c r="T6" s="2">
        <v>0.05</v>
      </c>
      <c r="U6" s="2">
        <v>10</v>
      </c>
      <c r="V6" s="2">
        <v>0.01</v>
      </c>
      <c r="W6" s="2">
        <v>10</v>
      </c>
      <c r="X6" s="2">
        <v>0.01</v>
      </c>
      <c r="Y6" s="2">
        <v>1</v>
      </c>
      <c r="Z6" s="2">
        <v>1</v>
      </c>
      <c r="AA6" s="2">
        <v>0</v>
      </c>
    </row>
    <row r="7" s="2" customFormat="1" customHeight="1" spans="1:27">
      <c r="C7" s="2">
        <v>2</v>
      </c>
      <c r="D7" s="2">
        <v>1</v>
      </c>
      <c r="E7" s="2">
        <f>F6+1</f>
        <v>1001</v>
      </c>
      <c r="F7" s="2">
        <v>2000</v>
      </c>
      <c r="G7" s="7" t="s">
        <v>34</v>
      </c>
      <c r="H7" s="7" t="s">
        <v>30</v>
      </c>
      <c r="I7" s="7" t="s">
        <v>35</v>
      </c>
      <c r="J7" s="7" t="s">
        <v>30</v>
      </c>
      <c r="K7" s="7" t="s">
        <v>36</v>
      </c>
      <c r="L7" s="8" t="s">
        <v>33</v>
      </c>
      <c r="M7" s="2">
        <v>1</v>
      </c>
      <c r="N7" s="2">
        <v>1</v>
      </c>
      <c r="O7" s="2">
        <v>0</v>
      </c>
      <c r="P7" s="2">
        <v>0</v>
      </c>
      <c r="Q7" s="2">
        <f>Q6+(F6-E6+1)*R6</f>
        <v>20</v>
      </c>
      <c r="R7" s="2">
        <v>0.02</v>
      </c>
      <c r="S7" s="2">
        <f>S6+(F6-E6+1)*T6</f>
        <v>100</v>
      </c>
      <c r="T7" s="2">
        <v>0.06</v>
      </c>
      <c r="U7" s="2">
        <f>U6+(F6-E6+1)*V6</f>
        <v>20</v>
      </c>
      <c r="V7" s="2">
        <v>0.02</v>
      </c>
      <c r="W7" s="2">
        <f>W6+(F6-E6+1)*X6</f>
        <v>20</v>
      </c>
      <c r="X7" s="2">
        <v>0.02</v>
      </c>
      <c r="Y7" s="2">
        <v>2</v>
      </c>
      <c r="Z7" s="2">
        <v>2</v>
      </c>
      <c r="AA7" s="2">
        <v>50</v>
      </c>
    </row>
    <row r="8" s="2" customFormat="1" customHeight="1" spans="1:27">
      <c r="C8" s="2">
        <v>3</v>
      </c>
      <c r="D8" s="2">
        <v>1</v>
      </c>
      <c r="E8" s="2">
        <f>F7+1</f>
        <v>2001</v>
      </c>
      <c r="F8" s="2">
        <v>3000</v>
      </c>
      <c r="G8" s="7" t="s">
        <v>37</v>
      </c>
      <c r="H8" s="7" t="s">
        <v>30</v>
      </c>
      <c r="I8" s="7" t="s">
        <v>38</v>
      </c>
      <c r="J8" s="7" t="s">
        <v>30</v>
      </c>
      <c r="K8" s="7" t="s">
        <v>39</v>
      </c>
      <c r="L8" s="8" t="s">
        <v>40</v>
      </c>
      <c r="M8" s="2">
        <v>1</v>
      </c>
      <c r="N8" s="2">
        <v>1</v>
      </c>
      <c r="O8" s="2">
        <v>0</v>
      </c>
      <c r="P8" s="2">
        <v>0</v>
      </c>
      <c r="Q8" s="2">
        <f>Q7+(F7-E7+1)*R7</f>
        <v>40</v>
      </c>
      <c r="R8" s="2">
        <v>0.02</v>
      </c>
      <c r="S8" s="2">
        <f>S7+(F7-E7+1)*T7</f>
        <v>160</v>
      </c>
      <c r="T8" s="2">
        <v>0.06</v>
      </c>
      <c r="U8" s="2">
        <f>U7+(F7-E7+1)*V7</f>
        <v>40</v>
      </c>
      <c r="V8" s="2">
        <v>0.02</v>
      </c>
      <c r="W8" s="2">
        <f>W7+(F7-E7+1)*X7</f>
        <v>40</v>
      </c>
      <c r="X8" s="2">
        <v>0.02</v>
      </c>
      <c r="Y8" s="2">
        <v>3</v>
      </c>
      <c r="Z8" s="2">
        <v>3</v>
      </c>
      <c r="AA8" s="2">
        <v>50</v>
      </c>
    </row>
    <row r="9" s="2" customFormat="1" customHeight="1" spans="1:27">
      <c r="A9" s="2" t="s">
        <v>41</v>
      </c>
      <c r="G9" s="5"/>
      <c r="H9" s="5"/>
      <c r="I9" s="5"/>
      <c r="J9" s="5"/>
      <c r="K9" s="7" t="s">
        <v>42</v>
      </c>
      <c r="L9" s="5"/>
    </row>
    <row r="10" s="2" customFormat="1" customHeight="1" spans="1:27">
      <c r="G10" s="5"/>
      <c r="H10" s="5"/>
      <c r="I10" s="5"/>
      <c r="J10" s="5"/>
      <c r="K10" s="5"/>
      <c r="L10" s="5"/>
    </row>
    <row r="11" s="2" customFormat="1" customHeight="1" spans="1:27">
      <c r="G11" s="5"/>
      <c r="H11" s="5"/>
      <c r="I11" s="5"/>
      <c r="J11" s="5"/>
      <c r="K11" s="5"/>
      <c r="L11" s="5"/>
    </row>
    <row r="12" s="2" customFormat="1" customHeight="1" spans="1:27">
      <c r="G12" s="5"/>
      <c r="H12" s="5"/>
      <c r="I12" s="5"/>
      <c r="J12" s="5"/>
      <c r="K12" s="5"/>
      <c r="L12" s="5"/>
    </row>
    <row r="13" s="2" customFormat="1" customHeight="1" spans="1:27">
      <c r="G13" s="5"/>
      <c r="H13" s="5"/>
      <c r="I13" s="5"/>
      <c r="J13" s="5"/>
      <c r="K13" s="5"/>
      <c r="L13" s="5"/>
    </row>
  </sheetData>
  <dataValidations count="1">
    <dataValidation type="custom" allowBlank="1" showErrorMessage="1" errorTitle="拒绝重复输入" error="当前输入的内容，与本区域的其他单元格内容重复。" sqref="C3:AA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2026-09-27T14:47:35Z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