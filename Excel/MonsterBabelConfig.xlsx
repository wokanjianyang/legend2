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<sst xmlns="http://schemas.openxmlformats.org/spreadsheetml/2006/main" count="87" uniqueCount="37">
  <si>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</si>
  <si>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</si>
  <si>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</si>
  <si>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</si>
  <si>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</si>
  <si>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</si>
  <si>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</si>
  <si>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</si>
  <si>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</si>
  <si>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</si>
  <si>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DamageIncrea</t>
  </si>
  <si>
    <t>DiRise</t>
  </si>
  <si>
    <t>DamageResist</t>
  </si>
  <si>
    <t>DrRise</t>
  </si>
  <si>
    <t>CritRate</t>
  </si>
  <si>
    <t>CrRise</t>
  </si>
  <si>
    <t>CritDamage</t>
  </si>
  <si>
    <t>CrdRise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</si>
  <si>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</si>
  <si>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</si>
  <si>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</si>
  <si>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</si>
  <si>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</si>
  <si>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</si>
  <si>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</si>
  <si>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</si>
  <si>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</si>
  <si>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</si>
  <si>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</si>
  <si>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400</t>
  </si>
  <si>
    <t>1.0116</t>
  </si>
  <si>
    <t>80</t>
  </si>
  <si>
    <t>20E+4</t>
  </si>
  <si>
    <t>1.0151</t>
  </si>
  <si>
    <t>4E+7</t>
  </si>
  <si>
    <t>8E+6</t>
  </si>
  <si>
    <t>64E+10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</si>
</sst>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3"/>
  <sheetViews>
    <sheetView tabSelected="1" workbookViewId="0">
      <pane ySplit="5" topLeftCell="A6" activePane="bottomLeft" state="frozen"/>
      <selection/>
      <selection pane="bottomLeft" activeCell="J14" sqref="J14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4" width="12" style="1" customWidth="1"/>
    <col min="15" max="16" width="12.1666666666667" style="1" customWidth="1"/>
    <col min="17" max="18" width="8.66666666666667" style="1" customWidth="1"/>
    <col min="19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3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3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3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26</v>
      </c>
      <c r="N5" s="4" t="s">
        <v>28</v>
      </c>
      <c r="O5" s="4" t="s">
        <v>26</v>
      </c>
      <c r="P5" s="4" t="s">
        <v>28</v>
      </c>
      <c r="Q5" s="4" t="s">
        <v>26</v>
      </c>
      <c r="R5" s="4" t="s">
        <v>28</v>
      </c>
      <c r="S5" s="4" t="s">
        <v>26</v>
      </c>
      <c r="T5" s="4" t="s">
        <v>28</v>
      </c>
      <c r="U5" s="4" t="s">
        <v>26</v>
      </c>
      <c r="V5" s="4" t="s">
        <v>28</v>
      </c>
      <c r="W5" s="4" t="s">
        <v>26</v>
      </c>
      <c r="X5" s="4" t="s">
        <v>28</v>
      </c>
      <c r="Y5" s="4" t="s">
        <v>26</v>
      </c>
      <c r="Z5" s="4" t="s">
        <v>26</v>
      </c>
      <c r="AA5" s="4" t="s">
        <v>26</v>
      </c>
    </row>
    <row r="6" s="2" customFormat="1" customHeight="1" spans="3:27">
      <c r="C6" s="2">
        <v>1</v>
      </c>
      <c r="D6" s="2">
        <v>1</v>
      </c>
      <c r="E6" s="2">
        <v>1</v>
      </c>
      <c r="F6" s="2">
        <v>1000</v>
      </c>
      <c r="G6" s="7" t="s">
        <v>29</v>
      </c>
      <c r="H6" s="7" t="s">
        <v>30</v>
      </c>
      <c r="I6" s="7" t="s">
        <v>31</v>
      </c>
      <c r="J6" s="7" t="s">
        <v>30</v>
      </c>
      <c r="K6" s="7" t="s">
        <v>32</v>
      </c>
      <c r="L6" s="8" t="s">
        <v>33</v>
      </c>
      <c r="M6" s="2">
        <v>0</v>
      </c>
      <c r="N6" s="2">
        <v>0</v>
      </c>
      <c r="O6" s="2">
        <v>0</v>
      </c>
      <c r="P6" s="2">
        <v>0</v>
      </c>
      <c r="Q6" s="2">
        <v>10</v>
      </c>
      <c r="R6" s="2">
        <v>0.01</v>
      </c>
      <c r="S6" s="2">
        <v>50</v>
      </c>
      <c r="T6" s="2">
        <v>0.05</v>
      </c>
      <c r="U6" s="2">
        <v>10</v>
      </c>
      <c r="V6" s="2">
        <v>0.01</v>
      </c>
      <c r="W6" s="2">
        <v>10</v>
      </c>
      <c r="X6" s="2">
        <v>0.01</v>
      </c>
      <c r="Y6" s="2">
        <v>1</v>
      </c>
      <c r="Z6" s="2">
        <v>1</v>
      </c>
      <c r="AA6" s="2">
        <v>0</v>
      </c>
    </row>
    <row r="7" s="2" customFormat="1" customHeight="1" spans="3:27">
      <c r="C7" s="2">
        <v>2</v>
      </c>
      <c r="D7" s="2">
        <v>1</v>
      </c>
      <c r="E7" s="2">
        <f>F6+1</f>
        <v>1001</v>
      </c>
      <c r="F7" s="2">
        <v>2000</v>
      </c>
      <c r="G7" s="7" t="s">
        <v>34</v>
      </c>
      <c r="H7" s="7" t="s">
        <v>30</v>
      </c>
      <c r="I7" s="7" t="s">
        <v>35</v>
      </c>
      <c r="J7" s="7" t="s">
        <v>30</v>
      </c>
      <c r="K7" s="7" t="s">
        <v>36</v>
      </c>
      <c r="L7" s="8" t="s">
        <v>33</v>
      </c>
      <c r="M7" s="2">
        <v>0</v>
      </c>
      <c r="N7" s="2">
        <v>0</v>
      </c>
      <c r="O7" s="2">
        <v>0</v>
      </c>
      <c r="P7" s="2">
        <v>0</v>
      </c>
      <c r="Q7" s="2">
        <f>Q6+(F6-E6+1)*R6</f>
        <v>20</v>
      </c>
      <c r="R7" s="2">
        <v>0.02</v>
      </c>
      <c r="S7" s="2">
        <f>S6+(F6-E6+1)*T6</f>
        <v>100</v>
      </c>
      <c r="T7" s="2">
        <v>0.06</v>
      </c>
      <c r="U7" s="2">
        <f>U6+(F6-E6+1)*V6</f>
        <v>20</v>
      </c>
      <c r="V7" s="2">
        <v>0.02</v>
      </c>
      <c r="W7" s="2">
        <f>W6+(F6-E6+1)*X6</f>
        <v>20</v>
      </c>
      <c r="X7" s="2">
        <v>0.02</v>
      </c>
      <c r="Y7" s="2">
        <v>2</v>
      </c>
      <c r="Z7" s="2">
        <v>2</v>
      </c>
      <c r="AA7" s="2">
        <v>50</v>
      </c>
    </row>
    <row r="8" s="2" customFormat="1" customHeight="1" spans="3:27">
      <c r="G8" s="5"/>
      <c r="H8" s="5"/>
      <c r="I8" s="5"/>
      <c r="J8" s="5"/>
      <c r="K8" s="5"/>
      <c r="L8" s="5"/>
    </row>
    <row r="9" s="2" customFormat="1" customHeight="1" spans="3:27">
      <c r="G9" s="5"/>
      <c r="H9" s="5"/>
      <c r="I9" s="5"/>
      <c r="J9" s="5"/>
      <c r="K9" s="5"/>
      <c r="L9" s="5"/>
    </row>
    <row r="10" s="2" customFormat="1" customHeight="1" spans="3:27">
      <c r="G10" s="5"/>
      <c r="H10" s="5"/>
      <c r="I10" s="5"/>
      <c r="J10" s="5"/>
      <c r="K10" s="5"/>
      <c r="L10" s="5"/>
    </row>
    <row r="11" s="2" customFormat="1" customHeight="1" spans="3:27">
      <c r="G11" s="5"/>
      <c r="H11" s="5"/>
      <c r="I11" s="5"/>
      <c r="J11" s="5"/>
      <c r="K11" s="5"/>
      <c r="L11" s="5"/>
    </row>
    <row r="12" s="2" customFormat="1" customHeight="1" spans="3:27">
      <c r="G12" s="5"/>
      <c r="H12" s="5"/>
      <c r="I12" s="5"/>
      <c r="J12" s="5"/>
      <c r="K12" s="5"/>
      <c r="L12" s="5"/>
    </row>
    <row r="13" s="2" customFormat="1" customHeight="1" spans="3:27">
      <c r="G13" s="5"/>
      <c r="H13" s="5"/>
      <c r="I13" s="5"/>
      <c r="J13" s="5"/>
      <c r="K13" s="5"/>
      <c r="L13" s="5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2026-07-28T08:06:55Z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