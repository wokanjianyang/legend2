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生成配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<sst xmlns="http://schemas.openxmlformats.org/spreadsheetml/2006/main" count="170" uniqueCount="107">
  <si>
    <t>#</t>
  </si>
  <si>
    <t>ID</t>
  </si>
  <si>
    <t>MapId</t>
  </si>
  <si>
    <t>Layer</t>
  </si>
  <si>
    <t>Name</t>
  </si>
  <si>
    <t>ModelId</t>
  </si>
  <si>
    <t>Atk</t>
  </si>
  <si>
    <t>Def</t>
  </si>
  <si>
    <t>HP</t>
  </si>
  <si>
    <t>DamageIncrea</t>
  </si>
  <si>
    <t>DamageResist</t>
  </si>
  <si>
    <t>CritRate</t>
  </si>
  <si>
    <t>CritDamage</t>
  </si>
  <si>
    <t>CritRateResist</t>
  </si>
  <si>
    <t>Accuracy</t>
  </si>
  <si>
    <t>Miss</t>
  </si>
  <si>
    <t>Speed</t>
  </si>
  <si>
    <t>MoveSpeed</t>
  </si>
  <si>
    <t>Lucky</t>
  </si>
  <si>
    <t>Curse</t>
  </si>
  <si>
    <t>Exp</t>
  </si>
  <si>
    <t>Gold</t>
  </si>
  <si>
    <t>经验基础</t>
  </si>
  <si>
    <t>属性基础</t>
  </si>
  <si>
    <t>属性倍率</t>
  </si>
  <si>
    <t>攻击倍率</t>
  </si>
  <si>
    <t>防御倍率</t>
  </si>
  <si>
    <t>血量倍率</t>
  </si>
  <si>
    <t>Strong</t>
  </si>
  <si>
    <t>Parry</t>
  </si>
  <si>
    <t>DamageMul</t>
  </si>
  <si>
    <t>Id</t>
  </si>
  <si>
    <t>int</t>
  </si>
  <si>
    <t>string</t>
  </si>
  <si>
    <t>long</t>
  </si>
  <si>
    <t>赤眼恶狼</t>
  </si>
  <si>
    <t>山贼骷髅</t>
  </si>
  <si>
    <t>游荡兽人</t>
  </si>
  <si>
    <t>魔眼蜘蛛</t>
  </si>
  <si>
    <t>岩甲蝎</t>
  </si>
  <si>
    <t>鬃毛狮</t>
  </si>
  <si>
    <t>毒雾蛆虫</t>
  </si>
  <si>
    <t>响尾蜈蚣</t>
  </si>
  <si>
    <t>双头蜈蚣</t>
  </si>
  <si>
    <t>恶灵蛛王</t>
  </si>
  <si>
    <t>双头蛇</t>
  </si>
  <si>
    <t>沼泽巨鳄</t>
  </si>
  <si>
    <t>嗜血乌鸦</t>
  </si>
  <si>
    <t>伏地行尸</t>
  </si>
  <si>
    <t>食尸鬼</t>
  </si>
  <si>
    <t>血眼蝙蝠</t>
  </si>
  <si>
    <t>尸魔</t>
  </si>
  <si>
    <t>棺守尸卫</t>
  </si>
  <si>
    <t>魅惑花妖</t>
  </si>
  <si>
    <t>荆棘树精</t>
  </si>
  <si>
    <t>深渊鱼人</t>
  </si>
  <si>
    <t>啸月狼人</t>
  </si>
  <si>
    <t>巨型蠕虫</t>
  </si>
  <si>
    <t>噩梦角鹿</t>
  </si>
  <si>
    <t>腐骨恶犬</t>
  </si>
  <si>
    <t>枯骨守卫</t>
  </si>
  <si>
    <t>亡魂射手</t>
  </si>
  <si>
    <t>幽灵鬼火</t>
  </si>
  <si>
    <t>骷髅法师</t>
  </si>
  <si>
    <t>骸骨守卫</t>
  </si>
  <si>
    <t>野猪战士</t>
  </si>
  <si>
    <t>野猪勇士</t>
  </si>
  <si>
    <t>野猪力士</t>
  </si>
  <si>
    <t>野猪萨满</t>
  </si>
  <si>
    <t>野猪战将</t>
  </si>
  <si>
    <t>野猪亲卫</t>
  </si>
  <si>
    <t>血焰花</t>
  </si>
  <si>
    <t>炽火甲虫</t>
  </si>
  <si>
    <t>火蛇</t>
  </si>
  <si>
    <t>赤炎兽</t>
  </si>
  <si>
    <t>焰魔姬</t>
  </si>
  <si>
    <t>炎魔</t>
  </si>
  <si>
    <t>冰甲蝎</t>
  </si>
  <si>
    <t>寒冰守卫</t>
  </si>
  <si>
    <t>霜甲龙龟</t>
  </si>
  <si>
    <t>冰霜骑士</t>
  </si>
  <si>
    <t>冰霜巨人</t>
  </si>
  <si>
    <t>寒冰古兽</t>
  </si>
  <si>
    <t>赤瞳鬼面蛛</t>
  </si>
  <si>
    <t>魅惑蛇姬</t>
  </si>
  <si>
    <t>毒牙巨蜥</t>
  </si>
  <si>
    <t>暗夜行者</t>
  </si>
  <si>
    <t>暗影祭司</t>
  </si>
  <si>
    <t>暗影女骑</t>
  </si>
  <si>
    <t>半人马战士</t>
  </si>
  <si>
    <t>巨熊守卫</t>
  </si>
  <si>
    <t>图腾萨满</t>
  </si>
  <si>
    <t>屠戮者</t>
  </si>
  <si>
    <t>狂暴牛头</t>
  </si>
  <si>
    <t>蛮族亲卫</t>
  </si>
  <si>
    <t>深渊魔瞳</t>
  </si>
  <si>
    <t>收割者</t>
  </si>
  <si>
    <t>血魔</t>
  </si>
  <si>
    <t>失序恶魔</t>
  </si>
  <si>
    <t>黑锋骑士</t>
  </si>
  <si>
    <t>异界巫师</t>
  </si>
  <si>
    <t>长角恶魔</t>
  </si>
  <si>
    <t>地狱三头犬</t>
  </si>
  <si>
    <t>恶魔女巫</t>
  </si>
  <si>
    <t>魇兽</t>
  </si>
  <si>
    <t>大恶魔</t>
  </si>
  <si>
    <t>深渊领主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</si>
</sst>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1" fillId="0" borderId="0" xfId="0" applyNumberFormat="1" applyFont="1"/>
    <xf numFmtId="0" fontId="1" fillId="0" borderId="0" xfId="0" applyFont="1" applyFill="1"/>
    <xf numFmtId="0" fontId="2" fillId="2" borderId="0" xfId="0" applyFont="1" applyFill="1" applyAlignment="1">
      <alignment horizontal="center"/>
    </xf>
    <xf numFmtId="0" fontId="1" fillId="0" borderId="0" xfId="0" applyFont="1" applyFill="1" applyAlignment="1">
      <alignment horizontal="left" vertical="center" wrapText="1"/>
    </xf>
    <xf numFmtId="0" fontId="1" fillId="0" borderId="0" xfId="0" applyNumberFormat="1" applyFont="1" applyFill="1"/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03"/>
  <sheetViews>
    <sheetView tabSelected="1" workbookViewId="0">
      <selection activeCell="F26" sqref="F26"/>
    </sheetView>
  </sheetViews>
  <sheetFormatPr defaultColWidth="9" defaultRowHeight="18" customHeight="1"/>
  <cols>
    <col min="1" max="1" width="6.875" style="2" customWidth="1"/>
    <col min="2" max="2" width="9" style="2"/>
    <col min="3" max="3" width="9.875" style="1" customWidth="1"/>
    <col min="4" max="4" width="11.125" style="1" customWidth="1"/>
    <col min="5" max="5" width="5.875" style="1" customWidth="1"/>
    <col min="6" max="6" width="12.125" style="3" customWidth="1"/>
    <col min="7" max="7" width="9.58333333333333" style="1" customWidth="1"/>
    <col min="8" max="8" width="12.0833333333333" style="2" customWidth="1"/>
    <col min="9" max="9" width="15.0833333333333" style="2" customWidth="1"/>
    <col min="10" max="10" width="18.5" style="2" customWidth="1"/>
    <col min="11" max="11" width="13.4166666666667" style="2" customWidth="1"/>
    <col min="12" max="12" width="10.3333333333333" style="2" customWidth="1"/>
    <col min="13" max="13" width="9.91666666666667" style="2" customWidth="1"/>
    <col min="14" max="15" width="8.75" style="2" customWidth="1"/>
    <col min="16" max="16" width="7.50833333333333" style="2" customWidth="1"/>
    <col min="17" max="17" width="9.16666666666667" style="2" customWidth="1"/>
    <col min="18" max="19" width="8.75" style="2" customWidth="1"/>
    <col min="20" max="20" width="7.50833333333333" style="2" customWidth="1"/>
    <col min="21" max="21" width="8.33333333333333" style="2" customWidth="1"/>
    <col min="22" max="22" width="9.91666666666667" style="2" customWidth="1"/>
    <col min="23" max="23" width="10.3333333333333" style="2" customWidth="1"/>
    <col min="24" max="24" width="8.33333333333333" style="1" customWidth="1"/>
    <col min="25" max="25" width="7.25" style="1" customWidth="1"/>
    <col min="26" max="28" width="7.16666666666667" style="2" customWidth="1"/>
    <col min="29" max="29" width="8.41666666666667" style="2" customWidth="1"/>
    <col min="30" max="30" width="4.33333333333333" style="2" customWidth="1"/>
    <col min="31" max="31" width="3.75" style="2" customWidth="1"/>
    <col min="32" max="32" width="3" style="2" customWidth="1"/>
    <col min="33" max="16384" width="9" style="2"/>
  </cols>
  <sheetData>
    <row r="1" s="1" customFormat="1" customHeight="1" spans="1:33">
      <c r="A1" s="2"/>
      <c r="B1" s="2"/>
      <c r="F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1" t="s">
        <v>0</v>
      </c>
      <c r="Y1" s="1" t="s">
        <v>0</v>
      </c>
      <c r="Z1" s="2" t="s">
        <v>0</v>
      </c>
      <c r="AA1" s="2" t="s">
        <v>0</v>
      </c>
      <c r="AB1" s="2" t="s">
        <v>0</v>
      </c>
      <c r="AC1" s="2" t="s">
        <v>0</v>
      </c>
      <c r="AD1" s="2" t="s">
        <v>0</v>
      </c>
      <c r="AE1" s="2" t="s">
        <v>0</v>
      </c>
      <c r="AF1" s="2" t="s">
        <v>0</v>
      </c>
      <c r="AG1" s="1" t="s">
        <v>0</v>
      </c>
    </row>
    <row r="2" s="1" customFormat="1" customHeight="1" spans="1:33">
      <c r="A2" s="2"/>
      <c r="B2" s="2"/>
      <c r="F2" s="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1" t="s">
        <v>0</v>
      </c>
      <c r="Y2" s="1" t="s">
        <v>0</v>
      </c>
      <c r="Z2" s="2" t="s">
        <v>0</v>
      </c>
      <c r="AA2" s="2" t="s">
        <v>0</v>
      </c>
      <c r="AB2" s="2" t="s">
        <v>0</v>
      </c>
      <c r="AC2" s="2" t="s">
        <v>0</v>
      </c>
      <c r="AD2" s="2" t="s">
        <v>0</v>
      </c>
      <c r="AE2" s="2" t="s">
        <v>0</v>
      </c>
      <c r="AF2" s="2" t="s">
        <v>0</v>
      </c>
      <c r="AG2" s="1" t="s">
        <v>0</v>
      </c>
    </row>
    <row r="3" s="1" customFormat="1" customHeight="1" spans="1:33">
      <c r="A3" s="2"/>
      <c r="B3" s="2"/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12</v>
      </c>
      <c r="O3" s="4" t="s">
        <v>13</v>
      </c>
      <c r="P3" s="4" t="s">
        <v>14</v>
      </c>
      <c r="Q3" s="4" t="s">
        <v>15</v>
      </c>
      <c r="R3" s="4" t="s">
        <v>16</v>
      </c>
      <c r="S3" s="4" t="s">
        <v>17</v>
      </c>
      <c r="T3" s="4" t="s">
        <v>18</v>
      </c>
      <c r="U3" s="4" t="s">
        <v>19</v>
      </c>
      <c r="V3" s="4" t="s">
        <v>20</v>
      </c>
      <c r="W3" s="4" t="s">
        <v>21</v>
      </c>
      <c r="X3" s="1" t="s">
        <v>22</v>
      </c>
      <c r="Y3" s="1" t="s">
        <v>23</v>
      </c>
      <c r="Z3" s="2" t="s">
        <v>24</v>
      </c>
      <c r="AA3" s="2" t="s">
        <v>25</v>
      </c>
      <c r="AB3" s="2" t="s">
        <v>26</v>
      </c>
      <c r="AC3" s="2" t="s">
        <v>27</v>
      </c>
      <c r="AD3" s="4" t="s">
        <v>28</v>
      </c>
      <c r="AE3" s="4" t="s">
        <v>29</v>
      </c>
      <c r="AF3" s="4" t="s">
        <v>30</v>
      </c>
    </row>
    <row r="4" s="1" customFormat="1" customHeight="1" spans="1:33">
      <c r="A4" s="2"/>
      <c r="B4" s="2"/>
      <c r="C4" s="4" t="s">
        <v>31</v>
      </c>
      <c r="D4" s="4" t="s">
        <v>2</v>
      </c>
      <c r="E4" s="4" t="s">
        <v>3</v>
      </c>
      <c r="F4" s="4" t="s">
        <v>4</v>
      </c>
      <c r="G4" s="4" t="s">
        <v>5</v>
      </c>
      <c r="H4" s="4" t="s">
        <v>6</v>
      </c>
      <c r="I4" s="4" t="s">
        <v>7</v>
      </c>
      <c r="J4" s="4" t="s">
        <v>8</v>
      </c>
      <c r="K4" s="4" t="s">
        <v>9</v>
      </c>
      <c r="L4" s="4" t="s">
        <v>10</v>
      </c>
      <c r="M4" s="4" t="s">
        <v>11</v>
      </c>
      <c r="N4" s="4" t="s">
        <v>12</v>
      </c>
      <c r="O4" s="4" t="s">
        <v>13</v>
      </c>
      <c r="P4" s="4" t="s">
        <v>14</v>
      </c>
      <c r="Q4" s="4" t="s">
        <v>15</v>
      </c>
      <c r="R4" s="4" t="s">
        <v>16</v>
      </c>
      <c r="S4" s="4" t="s">
        <v>17</v>
      </c>
      <c r="T4" s="4" t="s">
        <v>18</v>
      </c>
      <c r="U4" s="4" t="s">
        <v>19</v>
      </c>
      <c r="V4" s="4" t="s">
        <v>20</v>
      </c>
      <c r="W4" s="4" t="s">
        <v>21</v>
      </c>
      <c r="Z4" s="2"/>
      <c r="AA4" s="2"/>
      <c r="AB4" s="2"/>
      <c r="AC4" s="2"/>
      <c r="AD4" s="4" t="s">
        <v>28</v>
      </c>
      <c r="AE4" s="4" t="s">
        <v>29</v>
      </c>
      <c r="AF4" s="4" t="s">
        <v>30</v>
      </c>
      <c r="AG4" s="1">
        <v>0</v>
      </c>
    </row>
    <row r="5" s="1" customFormat="1" customHeight="1" spans="1:33">
      <c r="A5" s="2"/>
      <c r="B5" s="2"/>
      <c r="C5" s="4" t="s">
        <v>32</v>
      </c>
      <c r="D5" s="4" t="s">
        <v>32</v>
      </c>
      <c r="E5" s="4" t="s">
        <v>32</v>
      </c>
      <c r="F5" s="4" t="s">
        <v>33</v>
      </c>
      <c r="G5" s="4" t="s">
        <v>32</v>
      </c>
      <c r="H5" s="4" t="s">
        <v>33</v>
      </c>
      <c r="I5" s="4" t="s">
        <v>33</v>
      </c>
      <c r="J5" s="4" t="s">
        <v>33</v>
      </c>
      <c r="K5" s="4" t="s">
        <v>32</v>
      </c>
      <c r="L5" s="4" t="s">
        <v>32</v>
      </c>
      <c r="M5" s="4" t="s">
        <v>32</v>
      </c>
      <c r="N5" s="4" t="s">
        <v>32</v>
      </c>
      <c r="O5" s="4" t="s">
        <v>32</v>
      </c>
      <c r="P5" s="4" t="s">
        <v>32</v>
      </c>
      <c r="Q5" s="4" t="s">
        <v>32</v>
      </c>
      <c r="R5" s="4" t="s">
        <v>32</v>
      </c>
      <c r="S5" s="4" t="s">
        <v>32</v>
      </c>
      <c r="T5" s="4" t="s">
        <v>32</v>
      </c>
      <c r="U5" s="4" t="s">
        <v>32</v>
      </c>
      <c r="V5" s="4" t="s">
        <v>34</v>
      </c>
      <c r="W5" s="4" t="s">
        <v>34</v>
      </c>
      <c r="Z5" s="2"/>
      <c r="AA5" s="2"/>
      <c r="AB5" s="2"/>
      <c r="AC5" s="2"/>
      <c r="AD5" s="4" t="s">
        <v>33</v>
      </c>
      <c r="AE5" s="4" t="s">
        <v>33</v>
      </c>
      <c r="AF5" s="4" t="s">
        <v>33</v>
      </c>
      <c r="AG5" s="2">
        <v>1</v>
      </c>
    </row>
    <row r="6" ht="14" spans="1:33">
      <c r="C6" s="1">
        <v>1</v>
      </c>
      <c r="D6" s="1">
        <v>1</v>
      </c>
      <c r="E6" s="1">
        <v>1</v>
      </c>
      <c r="F6" s="5" t="s">
        <v>35</v>
      </c>
      <c r="G6" s="1">
        <v>1</v>
      </c>
      <c r="H6" s="1">
        <v>10</v>
      </c>
      <c r="I6" s="1">
        <f t="shared" ref="I6:I69" si="0">AB6*AG4*Z6/10</f>
        <v>0</v>
      </c>
      <c r="J6" s="1">
        <v>100</v>
      </c>
      <c r="K6" s="1">
        <f t="shared" ref="K6:K69" si="1">Y6*5</f>
        <v>5</v>
      </c>
      <c r="L6" s="1">
        <f t="shared" ref="L6:L69" si="2">Y6*3</f>
        <v>3</v>
      </c>
      <c r="M6" s="1">
        <f t="shared" ref="M6:M69" si="3">Y6*2</f>
        <v>2</v>
      </c>
      <c r="N6" s="1">
        <f t="shared" ref="N6:N69" si="4">Y6*4</f>
        <v>4</v>
      </c>
      <c r="O6" s="1">
        <v>0</v>
      </c>
      <c r="P6" s="6">
        <v>1</v>
      </c>
      <c r="Q6" s="6">
        <v>1</v>
      </c>
      <c r="R6" s="1">
        <v>0</v>
      </c>
      <c r="S6" s="1">
        <v>0</v>
      </c>
      <c r="T6" s="6">
        <v>0</v>
      </c>
      <c r="U6" s="6">
        <v>0</v>
      </c>
      <c r="V6" s="1">
        <f t="shared" ref="V6:V69" si="5">X6*10</f>
        <v>100</v>
      </c>
      <c r="W6" s="1">
        <f t="shared" ref="W6:W69" si="6">X6*10</f>
        <v>100</v>
      </c>
      <c r="X6" s="1">
        <v>10</v>
      </c>
      <c r="Y6" s="1">
        <v>1</v>
      </c>
      <c r="Z6" s="2">
        <v>100</v>
      </c>
      <c r="AA6" s="2">
        <v>2</v>
      </c>
      <c r="AB6" s="2">
        <v>0</v>
      </c>
      <c r="AC6" s="2">
        <v>10</v>
      </c>
      <c r="AD6" s="1">
        <v>0</v>
      </c>
      <c r="AE6" s="1"/>
      <c r="AF6" s="1">
        <v>0</v>
      </c>
      <c r="AG6" s="2">
        <v>2</v>
      </c>
    </row>
    <row r="7" customHeight="1" spans="1:33">
      <c r="C7" s="1">
        <v>2</v>
      </c>
      <c r="D7" s="1">
        <v>2</v>
      </c>
      <c r="E7" s="1">
        <v>1</v>
      </c>
      <c r="F7" s="5" t="s">
        <v>36</v>
      </c>
      <c r="G7" s="1">
        <v>2</v>
      </c>
      <c r="H7" s="1">
        <f t="shared" ref="H7:H70" si="7">AG9*Z7*AA7/10</f>
        <v>252</v>
      </c>
      <c r="I7" s="1">
        <f t="shared" si="0"/>
        <v>12</v>
      </c>
      <c r="J7" s="1">
        <f>Y7*Z7*AC7</f>
        <v>4800</v>
      </c>
      <c r="K7" s="1">
        <f t="shared" si="1"/>
        <v>10</v>
      </c>
      <c r="L7" s="1">
        <f t="shared" si="2"/>
        <v>6</v>
      </c>
      <c r="M7" s="1">
        <f t="shared" si="3"/>
        <v>4</v>
      </c>
      <c r="N7" s="1">
        <f t="shared" si="4"/>
        <v>8</v>
      </c>
      <c r="O7" s="1">
        <v>1</v>
      </c>
      <c r="P7" s="6">
        <v>2</v>
      </c>
      <c r="Q7" s="6">
        <v>10</v>
      </c>
      <c r="R7" s="1">
        <v>0</v>
      </c>
      <c r="S7" s="1">
        <v>0</v>
      </c>
      <c r="T7" s="6">
        <v>0</v>
      </c>
      <c r="U7" s="6">
        <v>0</v>
      </c>
      <c r="V7" s="1">
        <f t="shared" si="5"/>
        <v>110</v>
      </c>
      <c r="W7" s="1">
        <f t="shared" si="6"/>
        <v>110</v>
      </c>
      <c r="X7" s="1">
        <v>11</v>
      </c>
      <c r="Y7" s="1">
        <v>2</v>
      </c>
      <c r="Z7" s="2">
        <f>Z6+20</f>
        <v>120</v>
      </c>
      <c r="AA7" s="2">
        <v>3</v>
      </c>
      <c r="AB7" s="2">
        <v>1</v>
      </c>
      <c r="AC7" s="2">
        <v>20</v>
      </c>
      <c r="AD7" s="1">
        <v>0</v>
      </c>
      <c r="AE7" s="1"/>
      <c r="AF7" s="1">
        <v>0</v>
      </c>
      <c r="AG7" s="2">
        <v>3</v>
      </c>
    </row>
    <row r="8" customHeight="1" spans="1:33">
      <c r="C8" s="1">
        <v>3</v>
      </c>
      <c r="D8" s="1">
        <v>3</v>
      </c>
      <c r="E8" s="1">
        <v>1</v>
      </c>
      <c r="F8" s="5" t="s">
        <v>37</v>
      </c>
      <c r="G8" s="1">
        <v>3</v>
      </c>
      <c r="H8" s="1">
        <f t="shared" si="7"/>
        <v>616</v>
      </c>
      <c r="I8" s="1">
        <f t="shared" si="0"/>
        <v>56</v>
      </c>
      <c r="J8" s="1">
        <f>Y8*Z8*AC8</f>
        <v>16800</v>
      </c>
      <c r="K8" s="1">
        <f t="shared" si="1"/>
        <v>15</v>
      </c>
      <c r="L8" s="1">
        <f t="shared" si="2"/>
        <v>9</v>
      </c>
      <c r="M8" s="1">
        <f t="shared" si="3"/>
        <v>6</v>
      </c>
      <c r="N8" s="1">
        <f t="shared" si="4"/>
        <v>12</v>
      </c>
      <c r="O8" s="1">
        <v>2</v>
      </c>
      <c r="P8" s="6">
        <v>3</v>
      </c>
      <c r="Q8" s="2">
        <f t="shared" ref="Q8:Q45" si="8">Q7+2</f>
        <v>12</v>
      </c>
      <c r="R8" s="1">
        <v>0</v>
      </c>
      <c r="S8" s="1">
        <v>0</v>
      </c>
      <c r="T8" s="6">
        <v>0</v>
      </c>
      <c r="U8" s="6">
        <v>0</v>
      </c>
      <c r="V8" s="1">
        <f t="shared" si="5"/>
        <v>120</v>
      </c>
      <c r="W8" s="1">
        <f t="shared" si="6"/>
        <v>120</v>
      </c>
      <c r="X8" s="1">
        <v>12</v>
      </c>
      <c r="Y8" s="1">
        <v>3</v>
      </c>
      <c r="Z8" s="2">
        <f>Z7+20</f>
        <v>140</v>
      </c>
      <c r="AA8" s="2">
        <v>4</v>
      </c>
      <c r="AB8" s="2">
        <v>2</v>
      </c>
      <c r="AC8" s="2">
        <v>40</v>
      </c>
      <c r="AD8" s="1">
        <v>0</v>
      </c>
      <c r="AE8" s="1"/>
      <c r="AF8" s="1">
        <v>0</v>
      </c>
      <c r="AG8" s="2">
        <v>5</v>
      </c>
    </row>
    <row r="9" customHeight="1" spans="1:33">
      <c r="C9" s="1">
        <v>4</v>
      </c>
      <c r="D9" s="1">
        <v>4</v>
      </c>
      <c r="E9" s="1">
        <v>1</v>
      </c>
      <c r="F9" s="5" t="s">
        <v>38</v>
      </c>
      <c r="G9" s="1">
        <v>4</v>
      </c>
      <c r="H9" s="1">
        <f t="shared" si="7"/>
        <v>1040</v>
      </c>
      <c r="I9" s="1">
        <f t="shared" si="0"/>
        <v>144</v>
      </c>
      <c r="J9" s="1">
        <f t="shared" ref="J7:J72" si="9">Y9*Z9*AC9</f>
        <v>38400</v>
      </c>
      <c r="K9" s="1">
        <f t="shared" si="1"/>
        <v>20</v>
      </c>
      <c r="L9" s="1">
        <f t="shared" si="2"/>
        <v>12</v>
      </c>
      <c r="M9" s="1">
        <f t="shared" si="3"/>
        <v>8</v>
      </c>
      <c r="N9" s="1">
        <f t="shared" si="4"/>
        <v>16</v>
      </c>
      <c r="O9" s="1">
        <v>3</v>
      </c>
      <c r="P9" s="6">
        <v>4</v>
      </c>
      <c r="Q9" s="2">
        <f t="shared" si="8"/>
        <v>14</v>
      </c>
      <c r="R9" s="1">
        <v>0</v>
      </c>
      <c r="S9" s="1">
        <v>0</v>
      </c>
      <c r="T9" s="6">
        <v>0</v>
      </c>
      <c r="U9" s="6">
        <v>0</v>
      </c>
      <c r="V9" s="1">
        <f t="shared" si="5"/>
        <v>130</v>
      </c>
      <c r="W9" s="1">
        <f t="shared" si="6"/>
        <v>130</v>
      </c>
      <c r="X9" s="1">
        <v>13</v>
      </c>
      <c r="Y9" s="1">
        <v>4</v>
      </c>
      <c r="Z9" s="2">
        <f>Z8+20</f>
        <v>160</v>
      </c>
      <c r="AA9" s="2">
        <v>5</v>
      </c>
      <c r="AB9" s="2">
        <v>3</v>
      </c>
      <c r="AC9" s="2">
        <v>60</v>
      </c>
      <c r="AD9" s="1">
        <v>0</v>
      </c>
      <c r="AE9" s="1"/>
      <c r="AF9" s="1">
        <v>0</v>
      </c>
      <c r="AG9" s="2">
        <v>7</v>
      </c>
    </row>
    <row r="10" customHeight="1" spans="1:33">
      <c r="C10" s="1">
        <v>5</v>
      </c>
      <c r="D10" s="1">
        <v>5</v>
      </c>
      <c r="E10" s="1">
        <v>1</v>
      </c>
      <c r="F10" s="5" t="s">
        <v>39</v>
      </c>
      <c r="G10" s="1">
        <v>5</v>
      </c>
      <c r="H10" s="1">
        <f t="shared" si="7"/>
        <v>1836</v>
      </c>
      <c r="I10" s="1">
        <f t="shared" si="0"/>
        <v>360</v>
      </c>
      <c r="J10" s="1">
        <f t="shared" si="9"/>
        <v>90000</v>
      </c>
      <c r="K10" s="1">
        <f t="shared" si="1"/>
        <v>25</v>
      </c>
      <c r="L10" s="1">
        <f t="shared" si="2"/>
        <v>15</v>
      </c>
      <c r="M10" s="1">
        <f t="shared" si="3"/>
        <v>10</v>
      </c>
      <c r="N10" s="1">
        <f t="shared" si="4"/>
        <v>20</v>
      </c>
      <c r="O10" s="1">
        <v>4</v>
      </c>
      <c r="P10" s="6">
        <v>5</v>
      </c>
      <c r="Q10" s="2">
        <f t="shared" si="8"/>
        <v>16</v>
      </c>
      <c r="R10" s="1">
        <v>0</v>
      </c>
      <c r="S10" s="1">
        <v>0</v>
      </c>
      <c r="T10" s="6">
        <v>0</v>
      </c>
      <c r="U10" s="6">
        <v>0</v>
      </c>
      <c r="V10" s="1">
        <f t="shared" si="5"/>
        <v>140</v>
      </c>
      <c r="W10" s="1">
        <f t="shared" si="6"/>
        <v>140</v>
      </c>
      <c r="X10" s="1">
        <v>14</v>
      </c>
      <c r="Y10" s="1">
        <v>5</v>
      </c>
      <c r="Z10" s="2">
        <f>Z9+20</f>
        <v>180</v>
      </c>
      <c r="AA10" s="2">
        <v>6</v>
      </c>
      <c r="AB10" s="2">
        <v>4</v>
      </c>
      <c r="AC10" s="2">
        <v>100</v>
      </c>
      <c r="AD10" s="1">
        <v>0</v>
      </c>
      <c r="AE10" s="1"/>
      <c r="AF10" s="1">
        <v>0</v>
      </c>
      <c r="AG10" s="2">
        <v>11</v>
      </c>
    </row>
    <row r="11" customHeight="1" spans="1:33">
      <c r="C11" s="1">
        <v>6</v>
      </c>
      <c r="D11" s="1">
        <v>6</v>
      </c>
      <c r="E11" s="1">
        <v>1</v>
      </c>
      <c r="F11" s="3" t="s">
        <v>40</v>
      </c>
      <c r="G11" s="1">
        <v>6</v>
      </c>
      <c r="H11" s="1">
        <f t="shared" si="7"/>
        <v>2660</v>
      </c>
      <c r="I11" s="1">
        <f t="shared" si="0"/>
        <v>700</v>
      </c>
      <c r="J11" s="1">
        <f t="shared" si="9"/>
        <v>168000</v>
      </c>
      <c r="K11" s="1">
        <f t="shared" si="1"/>
        <v>30</v>
      </c>
      <c r="L11" s="1">
        <f t="shared" si="2"/>
        <v>18</v>
      </c>
      <c r="M11" s="1">
        <f t="shared" si="3"/>
        <v>12</v>
      </c>
      <c r="N11" s="1">
        <f t="shared" si="4"/>
        <v>24</v>
      </c>
      <c r="O11" s="1">
        <v>5</v>
      </c>
      <c r="P11" s="6">
        <v>6</v>
      </c>
      <c r="Q11" s="2">
        <f t="shared" si="8"/>
        <v>18</v>
      </c>
      <c r="R11" s="1">
        <v>0</v>
      </c>
      <c r="S11" s="1">
        <v>0</v>
      </c>
      <c r="T11" s="6">
        <v>0</v>
      </c>
      <c r="U11" s="6">
        <v>0</v>
      </c>
      <c r="V11" s="1">
        <f t="shared" si="5"/>
        <v>150</v>
      </c>
      <c r="W11" s="1">
        <f t="shared" si="6"/>
        <v>150</v>
      </c>
      <c r="X11" s="1">
        <v>15</v>
      </c>
      <c r="Y11" s="1">
        <v>6</v>
      </c>
      <c r="Z11" s="2">
        <f>Z10+20</f>
        <v>200</v>
      </c>
      <c r="AA11" s="2">
        <v>7</v>
      </c>
      <c r="AB11" s="2">
        <v>5</v>
      </c>
      <c r="AC11" s="2">
        <v>140</v>
      </c>
      <c r="AD11" s="1">
        <v>0</v>
      </c>
      <c r="AE11" s="1"/>
      <c r="AF11" s="1">
        <v>0</v>
      </c>
      <c r="AG11" s="2">
        <v>13</v>
      </c>
    </row>
    <row r="12" customHeight="1" spans="1:33">
      <c r="C12" s="1">
        <v>7</v>
      </c>
      <c r="D12" s="1">
        <v>7</v>
      </c>
      <c r="E12" s="1">
        <v>1</v>
      </c>
      <c r="F12" s="5" t="s">
        <v>41</v>
      </c>
      <c r="G12" s="1">
        <v>7</v>
      </c>
      <c r="H12" s="1">
        <f t="shared" si="7"/>
        <v>4416</v>
      </c>
      <c r="I12" s="1">
        <f t="shared" si="0"/>
        <v>1584</v>
      </c>
      <c r="J12" s="1">
        <f t="shared" si="9"/>
        <v>257040</v>
      </c>
      <c r="K12" s="1">
        <f t="shared" si="1"/>
        <v>35</v>
      </c>
      <c r="L12" s="1">
        <f t="shared" si="2"/>
        <v>21</v>
      </c>
      <c r="M12" s="1">
        <f t="shared" si="3"/>
        <v>14</v>
      </c>
      <c r="N12" s="1">
        <f t="shared" si="4"/>
        <v>28</v>
      </c>
      <c r="O12" s="1">
        <v>6</v>
      </c>
      <c r="P12" s="6">
        <v>7</v>
      </c>
      <c r="Q12" s="2">
        <f t="shared" si="8"/>
        <v>20</v>
      </c>
      <c r="R12" s="1">
        <v>0</v>
      </c>
      <c r="S12" s="1">
        <v>0</v>
      </c>
      <c r="T12" s="6">
        <v>0</v>
      </c>
      <c r="U12" s="6">
        <v>0</v>
      </c>
      <c r="V12" s="1">
        <f t="shared" si="5"/>
        <v>160</v>
      </c>
      <c r="W12" s="1">
        <f t="shared" si="6"/>
        <v>160</v>
      </c>
      <c r="X12" s="1">
        <v>16</v>
      </c>
      <c r="Y12" s="1">
        <v>7</v>
      </c>
      <c r="Z12" s="2">
        <f>Z11+40</f>
        <v>240</v>
      </c>
      <c r="AA12" s="2">
        <v>8</v>
      </c>
      <c r="AB12" s="2">
        <v>6</v>
      </c>
      <c r="AC12" s="2">
        <f t="shared" ref="AC8:AC75" si="10">AC11+AG11</f>
        <v>153</v>
      </c>
      <c r="AD12" s="1">
        <v>0</v>
      </c>
      <c r="AE12" s="1"/>
      <c r="AF12" s="1">
        <v>0</v>
      </c>
      <c r="AG12" s="2">
        <v>17</v>
      </c>
    </row>
    <row r="13" customHeight="1" spans="1:33">
      <c r="C13" s="1">
        <v>8</v>
      </c>
      <c r="D13" s="1">
        <v>8</v>
      </c>
      <c r="E13" s="1">
        <v>1</v>
      </c>
      <c r="F13" s="7" t="s">
        <v>42</v>
      </c>
      <c r="G13" s="1">
        <v>8</v>
      </c>
      <c r="H13" s="1">
        <f t="shared" si="7"/>
        <v>7308</v>
      </c>
      <c r="I13" s="1">
        <f t="shared" si="0"/>
        <v>2548</v>
      </c>
      <c r="J13" s="1">
        <f t="shared" si="9"/>
        <v>380800</v>
      </c>
      <c r="K13" s="1">
        <f t="shared" si="1"/>
        <v>40</v>
      </c>
      <c r="L13" s="1">
        <f t="shared" si="2"/>
        <v>24</v>
      </c>
      <c r="M13" s="1">
        <f t="shared" si="3"/>
        <v>16</v>
      </c>
      <c r="N13" s="1">
        <f t="shared" si="4"/>
        <v>32</v>
      </c>
      <c r="O13" s="1">
        <v>7</v>
      </c>
      <c r="P13" s="6">
        <v>8</v>
      </c>
      <c r="Q13" s="2">
        <f t="shared" si="8"/>
        <v>22</v>
      </c>
      <c r="R13" s="1">
        <v>0</v>
      </c>
      <c r="S13" s="1">
        <v>0</v>
      </c>
      <c r="T13" s="6">
        <v>0</v>
      </c>
      <c r="U13" s="6">
        <v>0</v>
      </c>
      <c r="V13" s="1">
        <f t="shared" si="5"/>
        <v>170</v>
      </c>
      <c r="W13" s="1">
        <f t="shared" si="6"/>
        <v>170</v>
      </c>
      <c r="X13" s="1">
        <v>17</v>
      </c>
      <c r="Y13" s="1">
        <v>8</v>
      </c>
      <c r="Z13" s="2">
        <f>Z12+40</f>
        <v>280</v>
      </c>
      <c r="AA13" s="2">
        <v>9</v>
      </c>
      <c r="AB13" s="2">
        <v>7</v>
      </c>
      <c r="AC13" s="2">
        <f t="shared" si="10"/>
        <v>170</v>
      </c>
      <c r="AD13" s="1">
        <v>0</v>
      </c>
      <c r="AE13" s="1"/>
      <c r="AF13" s="1">
        <v>0</v>
      </c>
      <c r="AG13" s="2">
        <v>19</v>
      </c>
    </row>
    <row r="14" customHeight="1" spans="1:33">
      <c r="C14" s="1">
        <v>9</v>
      </c>
      <c r="D14" s="1">
        <v>9</v>
      </c>
      <c r="E14" s="1">
        <v>1</v>
      </c>
      <c r="F14" s="5" t="s">
        <v>43</v>
      </c>
      <c r="G14" s="1">
        <v>9</v>
      </c>
      <c r="H14" s="1">
        <f t="shared" si="7"/>
        <v>9920</v>
      </c>
      <c r="I14" s="1">
        <f t="shared" si="0"/>
        <v>4352</v>
      </c>
      <c r="J14" s="1">
        <f t="shared" si="9"/>
        <v>544320</v>
      </c>
      <c r="K14" s="1">
        <f t="shared" si="1"/>
        <v>45</v>
      </c>
      <c r="L14" s="1">
        <f t="shared" si="2"/>
        <v>27</v>
      </c>
      <c r="M14" s="1">
        <f t="shared" si="3"/>
        <v>18</v>
      </c>
      <c r="N14" s="1">
        <f t="shared" si="4"/>
        <v>36</v>
      </c>
      <c r="O14" s="1">
        <v>8</v>
      </c>
      <c r="P14" s="6">
        <v>9</v>
      </c>
      <c r="Q14" s="2">
        <f t="shared" si="8"/>
        <v>24</v>
      </c>
      <c r="R14" s="1">
        <v>0</v>
      </c>
      <c r="S14" s="1">
        <v>0</v>
      </c>
      <c r="T14" s="6">
        <v>0</v>
      </c>
      <c r="U14" s="6">
        <v>0</v>
      </c>
      <c r="V14" s="1">
        <f t="shared" si="5"/>
        <v>180</v>
      </c>
      <c r="W14" s="1">
        <f t="shared" si="6"/>
        <v>180</v>
      </c>
      <c r="X14" s="1">
        <v>18</v>
      </c>
      <c r="Y14" s="1">
        <v>9</v>
      </c>
      <c r="Z14" s="2">
        <f>Z13+40</f>
        <v>320</v>
      </c>
      <c r="AA14" s="2">
        <v>10</v>
      </c>
      <c r="AB14" s="2">
        <v>8</v>
      </c>
      <c r="AC14" s="2">
        <f t="shared" si="10"/>
        <v>189</v>
      </c>
      <c r="AD14" s="1">
        <v>0</v>
      </c>
      <c r="AE14" s="1"/>
      <c r="AF14" s="1">
        <v>0</v>
      </c>
      <c r="AG14" s="2">
        <v>23</v>
      </c>
    </row>
    <row r="15" customHeight="1" spans="1:33">
      <c r="C15" s="1">
        <v>10</v>
      </c>
      <c r="D15" s="1">
        <v>10</v>
      </c>
      <c r="E15" s="1">
        <v>1</v>
      </c>
      <c r="F15" s="7" t="s">
        <v>44</v>
      </c>
      <c r="G15" s="1">
        <v>10</v>
      </c>
      <c r="H15" s="1">
        <f t="shared" si="7"/>
        <v>14652</v>
      </c>
      <c r="I15" s="1">
        <f t="shared" si="0"/>
        <v>6156</v>
      </c>
      <c r="J15" s="1">
        <f t="shared" si="9"/>
        <v>763200</v>
      </c>
      <c r="K15" s="1">
        <f t="shared" si="1"/>
        <v>50</v>
      </c>
      <c r="L15" s="1">
        <f t="shared" si="2"/>
        <v>30</v>
      </c>
      <c r="M15" s="1">
        <f t="shared" si="3"/>
        <v>20</v>
      </c>
      <c r="N15" s="1">
        <f t="shared" si="4"/>
        <v>40</v>
      </c>
      <c r="O15" s="1">
        <v>9</v>
      </c>
      <c r="P15" s="6">
        <v>10</v>
      </c>
      <c r="Q15" s="2">
        <f t="shared" si="8"/>
        <v>26</v>
      </c>
      <c r="R15" s="1">
        <v>0</v>
      </c>
      <c r="S15" s="1">
        <v>0</v>
      </c>
      <c r="T15" s="6">
        <v>0</v>
      </c>
      <c r="U15" s="6">
        <v>0</v>
      </c>
      <c r="V15" s="1">
        <f t="shared" si="5"/>
        <v>190</v>
      </c>
      <c r="W15" s="1">
        <f t="shared" si="6"/>
        <v>190</v>
      </c>
      <c r="X15" s="1">
        <v>19</v>
      </c>
      <c r="Y15" s="1">
        <v>10</v>
      </c>
      <c r="Z15" s="2">
        <f>Z14+40</f>
        <v>360</v>
      </c>
      <c r="AA15" s="2">
        <v>11</v>
      </c>
      <c r="AB15" s="2">
        <v>9</v>
      </c>
      <c r="AC15" s="2">
        <f t="shared" si="10"/>
        <v>212</v>
      </c>
      <c r="AD15" s="1">
        <v>0</v>
      </c>
      <c r="AE15" s="1"/>
      <c r="AF15" s="1">
        <v>0</v>
      </c>
      <c r="AG15" s="2">
        <v>29</v>
      </c>
    </row>
    <row r="16" customHeight="1" spans="1:33">
      <c r="C16" s="1">
        <v>11</v>
      </c>
      <c r="D16" s="1">
        <v>11</v>
      </c>
      <c r="E16" s="1">
        <v>1</v>
      </c>
      <c r="F16" s="5" t="s">
        <v>45</v>
      </c>
      <c r="G16" s="1">
        <v>11</v>
      </c>
      <c r="H16" s="1">
        <f t="shared" si="7"/>
        <v>21320</v>
      </c>
      <c r="I16" s="1">
        <f t="shared" si="0"/>
        <v>9200</v>
      </c>
      <c r="J16" s="1">
        <f t="shared" si="9"/>
        <v>1060400</v>
      </c>
      <c r="K16" s="1">
        <f t="shared" si="1"/>
        <v>55</v>
      </c>
      <c r="L16" s="1">
        <f t="shared" si="2"/>
        <v>33</v>
      </c>
      <c r="M16" s="1">
        <f t="shared" si="3"/>
        <v>22</v>
      </c>
      <c r="N16" s="1">
        <f t="shared" si="4"/>
        <v>44</v>
      </c>
      <c r="O16" s="1">
        <v>10</v>
      </c>
      <c r="P16" s="6">
        <v>11</v>
      </c>
      <c r="Q16" s="2">
        <f t="shared" si="8"/>
        <v>28</v>
      </c>
      <c r="R16" s="1">
        <v>0</v>
      </c>
      <c r="S16" s="1">
        <v>0</v>
      </c>
      <c r="T16" s="6">
        <v>0</v>
      </c>
      <c r="U16" s="6">
        <v>0</v>
      </c>
      <c r="V16" s="1">
        <f t="shared" si="5"/>
        <v>200</v>
      </c>
      <c r="W16" s="1">
        <f t="shared" si="6"/>
        <v>200</v>
      </c>
      <c r="X16" s="1">
        <v>20</v>
      </c>
      <c r="Y16" s="1">
        <v>11</v>
      </c>
      <c r="Z16" s="2">
        <f>Z15+40</f>
        <v>400</v>
      </c>
      <c r="AA16" s="2">
        <v>13</v>
      </c>
      <c r="AB16" s="2">
        <v>10</v>
      </c>
      <c r="AC16" s="2">
        <f t="shared" si="10"/>
        <v>241</v>
      </c>
      <c r="AD16" s="1">
        <v>0</v>
      </c>
      <c r="AE16" s="1"/>
      <c r="AF16" s="1">
        <v>0</v>
      </c>
      <c r="AG16" s="2">
        <v>31</v>
      </c>
    </row>
    <row r="17" customHeight="1" spans="3:33">
      <c r="C17" s="1">
        <v>12</v>
      </c>
      <c r="D17" s="1">
        <v>12</v>
      </c>
      <c r="E17" s="1">
        <v>1</v>
      </c>
      <c r="F17" s="3" t="s">
        <v>46</v>
      </c>
      <c r="G17" s="1">
        <v>12</v>
      </c>
      <c r="H17" s="1">
        <f t="shared" si="7"/>
        <v>36550</v>
      </c>
      <c r="I17" s="1">
        <f t="shared" si="0"/>
        <v>15950</v>
      </c>
      <c r="J17" s="1">
        <f t="shared" si="9"/>
        <v>1632000</v>
      </c>
      <c r="K17" s="1">
        <f t="shared" si="1"/>
        <v>60</v>
      </c>
      <c r="L17" s="1">
        <f t="shared" si="2"/>
        <v>36</v>
      </c>
      <c r="M17" s="1">
        <f t="shared" si="3"/>
        <v>24</v>
      </c>
      <c r="N17" s="1">
        <f t="shared" si="4"/>
        <v>48</v>
      </c>
      <c r="O17" s="1">
        <v>11</v>
      </c>
      <c r="P17" s="6">
        <v>12</v>
      </c>
      <c r="Q17" s="2">
        <f t="shared" si="8"/>
        <v>30</v>
      </c>
      <c r="R17" s="1">
        <v>0</v>
      </c>
      <c r="S17" s="1">
        <v>0</v>
      </c>
      <c r="T17" s="6">
        <v>0</v>
      </c>
      <c r="U17" s="6">
        <v>0</v>
      </c>
      <c r="V17" s="1">
        <f t="shared" si="5"/>
        <v>210</v>
      </c>
      <c r="W17" s="1">
        <f t="shared" si="6"/>
        <v>210</v>
      </c>
      <c r="X17" s="1">
        <v>21</v>
      </c>
      <c r="Y17" s="1">
        <v>12</v>
      </c>
      <c r="Z17" s="2">
        <f t="shared" ref="Z17:Z22" si="11">Z16+100</f>
        <v>500</v>
      </c>
      <c r="AA17" s="2">
        <v>17</v>
      </c>
      <c r="AB17" s="2">
        <v>11</v>
      </c>
      <c r="AC17" s="2">
        <f t="shared" si="10"/>
        <v>272</v>
      </c>
      <c r="AD17" s="1">
        <v>0</v>
      </c>
      <c r="AE17" s="1"/>
      <c r="AF17" s="1">
        <v>0</v>
      </c>
      <c r="AG17" s="2">
        <v>37</v>
      </c>
    </row>
    <row r="18" customHeight="1" spans="3:33">
      <c r="C18" s="1">
        <v>13</v>
      </c>
      <c r="D18" s="1">
        <v>13</v>
      </c>
      <c r="E18" s="1">
        <v>1</v>
      </c>
      <c r="F18" s="7" t="s">
        <v>47</v>
      </c>
      <c r="G18" s="1">
        <v>13</v>
      </c>
      <c r="H18" s="1">
        <f t="shared" si="7"/>
        <v>53580</v>
      </c>
      <c r="I18" s="1">
        <f t="shared" si="0"/>
        <v>22320</v>
      </c>
      <c r="J18" s="1">
        <f t="shared" si="9"/>
        <v>2410200</v>
      </c>
      <c r="K18" s="1">
        <f t="shared" si="1"/>
        <v>65</v>
      </c>
      <c r="L18" s="1">
        <f t="shared" si="2"/>
        <v>39</v>
      </c>
      <c r="M18" s="1">
        <f t="shared" si="3"/>
        <v>26</v>
      </c>
      <c r="N18" s="1">
        <f t="shared" si="4"/>
        <v>52</v>
      </c>
      <c r="O18" s="1">
        <v>12</v>
      </c>
      <c r="P18" s="6">
        <v>13</v>
      </c>
      <c r="Q18" s="2">
        <f t="shared" si="8"/>
        <v>32</v>
      </c>
      <c r="R18" s="1">
        <v>0</v>
      </c>
      <c r="S18" s="1">
        <v>0</v>
      </c>
      <c r="T18" s="6">
        <v>0</v>
      </c>
      <c r="U18" s="6">
        <v>0</v>
      </c>
      <c r="V18" s="1">
        <f t="shared" si="5"/>
        <v>220</v>
      </c>
      <c r="W18" s="1">
        <f t="shared" si="6"/>
        <v>220</v>
      </c>
      <c r="X18" s="1">
        <v>22</v>
      </c>
      <c r="Y18" s="1">
        <v>13</v>
      </c>
      <c r="Z18" s="2">
        <f t="shared" si="11"/>
        <v>600</v>
      </c>
      <c r="AA18" s="2">
        <v>19</v>
      </c>
      <c r="AB18" s="2">
        <v>12</v>
      </c>
      <c r="AC18" s="2">
        <f t="shared" si="10"/>
        <v>309</v>
      </c>
      <c r="AD18" s="1">
        <v>0</v>
      </c>
      <c r="AE18" s="1"/>
      <c r="AF18" s="1">
        <v>0</v>
      </c>
      <c r="AG18" s="2">
        <v>41</v>
      </c>
    </row>
    <row r="19" customHeight="1" spans="3:33">
      <c r="C19" s="1">
        <v>14</v>
      </c>
      <c r="D19" s="1">
        <v>14</v>
      </c>
      <c r="E19" s="1">
        <v>1</v>
      </c>
      <c r="F19" s="5" t="s">
        <v>48</v>
      </c>
      <c r="G19" s="1">
        <v>14</v>
      </c>
      <c r="H19" s="1">
        <f t="shared" si="7"/>
        <v>85330</v>
      </c>
      <c r="I19" s="1">
        <f t="shared" si="0"/>
        <v>33670</v>
      </c>
      <c r="J19" s="1">
        <f t="shared" si="9"/>
        <v>3430000</v>
      </c>
      <c r="K19" s="1">
        <f t="shared" si="1"/>
        <v>70</v>
      </c>
      <c r="L19" s="1">
        <f t="shared" si="2"/>
        <v>42</v>
      </c>
      <c r="M19" s="1">
        <f t="shared" si="3"/>
        <v>28</v>
      </c>
      <c r="N19" s="1">
        <f t="shared" si="4"/>
        <v>56</v>
      </c>
      <c r="O19" s="1">
        <v>13</v>
      </c>
      <c r="P19" s="6">
        <v>14</v>
      </c>
      <c r="Q19" s="2">
        <f t="shared" si="8"/>
        <v>34</v>
      </c>
      <c r="R19" s="1">
        <v>0</v>
      </c>
      <c r="S19" s="1">
        <v>0</v>
      </c>
      <c r="T19" s="6">
        <v>0</v>
      </c>
      <c r="U19" s="6">
        <v>0</v>
      </c>
      <c r="V19" s="1">
        <f t="shared" si="5"/>
        <v>230</v>
      </c>
      <c r="W19" s="1">
        <f t="shared" si="6"/>
        <v>230</v>
      </c>
      <c r="X19" s="1">
        <v>23</v>
      </c>
      <c r="Y19" s="1">
        <v>14</v>
      </c>
      <c r="Z19" s="2">
        <f t="shared" si="11"/>
        <v>700</v>
      </c>
      <c r="AA19" s="2">
        <v>23</v>
      </c>
      <c r="AB19" s="2">
        <v>13</v>
      </c>
      <c r="AC19" s="2">
        <f t="shared" si="10"/>
        <v>350</v>
      </c>
      <c r="AD19" s="1">
        <v>0</v>
      </c>
      <c r="AE19" s="1"/>
      <c r="AF19" s="1">
        <v>0</v>
      </c>
      <c r="AG19" s="2">
        <v>43</v>
      </c>
    </row>
    <row r="20" customHeight="1" spans="3:33">
      <c r="C20" s="1">
        <v>15</v>
      </c>
      <c r="D20" s="1">
        <v>15</v>
      </c>
      <c r="E20" s="1">
        <v>1</v>
      </c>
      <c r="F20" s="5" t="s">
        <v>49</v>
      </c>
      <c r="G20" s="1">
        <v>15</v>
      </c>
      <c r="H20" s="1">
        <f t="shared" si="7"/>
        <v>136880</v>
      </c>
      <c r="I20" s="1">
        <f t="shared" si="0"/>
        <v>45920</v>
      </c>
      <c r="J20" s="1">
        <f t="shared" si="9"/>
        <v>4716000</v>
      </c>
      <c r="K20" s="1">
        <f t="shared" si="1"/>
        <v>75</v>
      </c>
      <c r="L20" s="1">
        <f t="shared" si="2"/>
        <v>45</v>
      </c>
      <c r="M20" s="1">
        <f t="shared" si="3"/>
        <v>30</v>
      </c>
      <c r="N20" s="1">
        <f t="shared" si="4"/>
        <v>60</v>
      </c>
      <c r="O20" s="1">
        <v>14</v>
      </c>
      <c r="P20" s="6">
        <v>15</v>
      </c>
      <c r="Q20" s="2">
        <f t="shared" si="8"/>
        <v>36</v>
      </c>
      <c r="R20" s="1">
        <v>0</v>
      </c>
      <c r="S20" s="1">
        <v>0</v>
      </c>
      <c r="T20" s="6">
        <v>0</v>
      </c>
      <c r="U20" s="6">
        <v>0</v>
      </c>
      <c r="V20" s="1">
        <f t="shared" si="5"/>
        <v>240</v>
      </c>
      <c r="W20" s="1">
        <f t="shared" si="6"/>
        <v>240</v>
      </c>
      <c r="X20" s="1">
        <v>24</v>
      </c>
      <c r="Y20" s="1">
        <v>15</v>
      </c>
      <c r="Z20" s="2">
        <f t="shared" si="11"/>
        <v>800</v>
      </c>
      <c r="AA20" s="2">
        <v>29</v>
      </c>
      <c r="AB20" s="2">
        <v>14</v>
      </c>
      <c r="AC20" s="2">
        <f t="shared" si="10"/>
        <v>393</v>
      </c>
      <c r="AD20" s="1">
        <v>0</v>
      </c>
      <c r="AE20" s="1"/>
      <c r="AF20" s="1">
        <v>0</v>
      </c>
      <c r="AG20" s="2">
        <v>47</v>
      </c>
    </row>
    <row r="21" customHeight="1" spans="3:33">
      <c r="C21" s="1">
        <v>16</v>
      </c>
      <c r="D21" s="1">
        <v>16</v>
      </c>
      <c r="E21" s="1">
        <v>1</v>
      </c>
      <c r="F21" s="5" t="s">
        <v>50</v>
      </c>
      <c r="G21" s="1">
        <v>16</v>
      </c>
      <c r="H21" s="1">
        <f t="shared" si="7"/>
        <v>170190</v>
      </c>
      <c r="I21" s="1">
        <f t="shared" si="0"/>
        <v>58050</v>
      </c>
      <c r="J21" s="1">
        <f t="shared" si="9"/>
        <v>6336000</v>
      </c>
      <c r="K21" s="1">
        <f t="shared" si="1"/>
        <v>80</v>
      </c>
      <c r="L21" s="1">
        <f t="shared" si="2"/>
        <v>48</v>
      </c>
      <c r="M21" s="1">
        <f t="shared" si="3"/>
        <v>32</v>
      </c>
      <c r="N21" s="1">
        <f t="shared" si="4"/>
        <v>64</v>
      </c>
      <c r="O21" s="1">
        <v>15</v>
      </c>
      <c r="P21" s="6">
        <v>16</v>
      </c>
      <c r="Q21" s="2">
        <f t="shared" si="8"/>
        <v>38</v>
      </c>
      <c r="R21" s="1">
        <v>0</v>
      </c>
      <c r="S21" s="1">
        <v>0</v>
      </c>
      <c r="T21" s="6">
        <v>0</v>
      </c>
      <c r="U21" s="6">
        <v>0</v>
      </c>
      <c r="V21" s="1">
        <f t="shared" si="5"/>
        <v>250</v>
      </c>
      <c r="W21" s="1">
        <f t="shared" si="6"/>
        <v>250</v>
      </c>
      <c r="X21" s="1">
        <v>25</v>
      </c>
      <c r="Y21" s="1">
        <v>16</v>
      </c>
      <c r="Z21" s="2">
        <f t="shared" si="11"/>
        <v>900</v>
      </c>
      <c r="AA21" s="2">
        <v>31</v>
      </c>
      <c r="AB21" s="2">
        <v>15</v>
      </c>
      <c r="AC21" s="2">
        <f t="shared" si="10"/>
        <v>440</v>
      </c>
      <c r="AD21" s="1">
        <v>0</v>
      </c>
      <c r="AE21" s="1"/>
      <c r="AF21" s="1">
        <v>0</v>
      </c>
      <c r="AG21" s="2">
        <v>53</v>
      </c>
    </row>
    <row r="22" customHeight="1" spans="3:33">
      <c r="C22" s="1">
        <v>17</v>
      </c>
      <c r="D22" s="1">
        <v>17</v>
      </c>
      <c r="E22" s="1">
        <v>1</v>
      </c>
      <c r="F22" s="5" t="s">
        <v>51</v>
      </c>
      <c r="G22" s="1">
        <v>17</v>
      </c>
      <c r="H22" s="1">
        <f t="shared" si="7"/>
        <v>247900</v>
      </c>
      <c r="I22" s="1">
        <f t="shared" si="0"/>
        <v>75200</v>
      </c>
      <c r="J22" s="1">
        <f t="shared" si="9"/>
        <v>8381000</v>
      </c>
      <c r="K22" s="1">
        <f t="shared" si="1"/>
        <v>85</v>
      </c>
      <c r="L22" s="1">
        <f t="shared" si="2"/>
        <v>51</v>
      </c>
      <c r="M22" s="1">
        <f t="shared" si="3"/>
        <v>34</v>
      </c>
      <c r="N22" s="1">
        <f t="shared" si="4"/>
        <v>68</v>
      </c>
      <c r="O22" s="1">
        <v>16</v>
      </c>
      <c r="P22" s="6">
        <v>17</v>
      </c>
      <c r="Q22" s="2">
        <f t="shared" si="8"/>
        <v>40</v>
      </c>
      <c r="R22" s="1">
        <v>0</v>
      </c>
      <c r="S22" s="1">
        <v>0</v>
      </c>
      <c r="T22" s="6">
        <v>0</v>
      </c>
      <c r="U22" s="6">
        <v>0</v>
      </c>
      <c r="V22" s="1">
        <f t="shared" si="5"/>
        <v>260</v>
      </c>
      <c r="W22" s="1">
        <f t="shared" si="6"/>
        <v>260</v>
      </c>
      <c r="X22" s="1">
        <v>26</v>
      </c>
      <c r="Y22" s="1">
        <v>17</v>
      </c>
      <c r="Z22" s="2">
        <f t="shared" si="11"/>
        <v>1000</v>
      </c>
      <c r="AA22" s="2">
        <v>37</v>
      </c>
      <c r="AB22" s="2">
        <v>16</v>
      </c>
      <c r="AC22" s="2">
        <f t="shared" si="10"/>
        <v>493</v>
      </c>
      <c r="AD22" s="1">
        <v>0</v>
      </c>
      <c r="AE22" s="1"/>
      <c r="AF22" s="1">
        <v>0</v>
      </c>
      <c r="AG22" s="2">
        <v>59</v>
      </c>
    </row>
    <row r="23" customHeight="1" spans="3:33">
      <c r="C23" s="1">
        <v>18</v>
      </c>
      <c r="D23" s="1">
        <v>18</v>
      </c>
      <c r="E23" s="1">
        <v>1</v>
      </c>
      <c r="F23" s="3" t="s">
        <v>52</v>
      </c>
      <c r="G23" s="1">
        <v>18</v>
      </c>
      <c r="H23" s="1">
        <f t="shared" si="7"/>
        <v>349320</v>
      </c>
      <c r="I23" s="1">
        <f t="shared" si="0"/>
        <v>108120</v>
      </c>
      <c r="J23" s="1">
        <f t="shared" si="9"/>
        <v>11923200</v>
      </c>
      <c r="K23" s="1">
        <f t="shared" si="1"/>
        <v>90</v>
      </c>
      <c r="L23" s="1">
        <f t="shared" si="2"/>
        <v>54</v>
      </c>
      <c r="M23" s="1">
        <f t="shared" si="3"/>
        <v>36</v>
      </c>
      <c r="N23" s="1">
        <f t="shared" si="4"/>
        <v>72</v>
      </c>
      <c r="O23" s="1">
        <v>17</v>
      </c>
      <c r="P23" s="6">
        <v>18</v>
      </c>
      <c r="Q23" s="2">
        <f t="shared" si="8"/>
        <v>42</v>
      </c>
      <c r="R23" s="1">
        <v>0</v>
      </c>
      <c r="S23" s="1">
        <v>0</v>
      </c>
      <c r="T23" s="6">
        <v>0</v>
      </c>
      <c r="U23" s="6">
        <v>0</v>
      </c>
      <c r="V23" s="1">
        <f t="shared" si="5"/>
        <v>270</v>
      </c>
      <c r="W23" s="1">
        <f t="shared" si="6"/>
        <v>270</v>
      </c>
      <c r="X23" s="1">
        <v>27</v>
      </c>
      <c r="Y23" s="1">
        <v>18</v>
      </c>
      <c r="Z23" s="2">
        <f>Z22+200</f>
        <v>1200</v>
      </c>
      <c r="AA23" s="2">
        <v>41</v>
      </c>
      <c r="AB23" s="2">
        <v>17</v>
      </c>
      <c r="AC23" s="2">
        <f t="shared" si="10"/>
        <v>552</v>
      </c>
      <c r="AD23" s="1">
        <v>0</v>
      </c>
      <c r="AE23" s="1"/>
      <c r="AF23" s="1">
        <v>0</v>
      </c>
      <c r="AG23" s="2">
        <v>61</v>
      </c>
    </row>
    <row r="24" customHeight="1" spans="3:33">
      <c r="C24" s="1">
        <v>19</v>
      </c>
      <c r="D24" s="1">
        <v>19</v>
      </c>
      <c r="E24" s="1">
        <v>1</v>
      </c>
      <c r="F24" s="5" t="s">
        <v>53</v>
      </c>
      <c r="G24" s="1">
        <v>19</v>
      </c>
      <c r="H24" s="1">
        <f t="shared" si="7"/>
        <v>439460</v>
      </c>
      <c r="I24" s="1">
        <f t="shared" si="0"/>
        <v>148680</v>
      </c>
      <c r="J24" s="1">
        <f t="shared" si="9"/>
        <v>16305800</v>
      </c>
      <c r="K24" s="1">
        <f t="shared" si="1"/>
        <v>95</v>
      </c>
      <c r="L24" s="1">
        <f t="shared" si="2"/>
        <v>57</v>
      </c>
      <c r="M24" s="1">
        <f t="shared" si="3"/>
        <v>38</v>
      </c>
      <c r="N24" s="1">
        <f t="shared" si="4"/>
        <v>76</v>
      </c>
      <c r="O24" s="1">
        <v>18</v>
      </c>
      <c r="P24" s="6">
        <v>19</v>
      </c>
      <c r="Q24" s="2">
        <f t="shared" si="8"/>
        <v>44</v>
      </c>
      <c r="R24" s="1">
        <v>0</v>
      </c>
      <c r="S24" s="1">
        <v>0</v>
      </c>
      <c r="T24" s="6">
        <v>0</v>
      </c>
      <c r="U24" s="6">
        <v>0</v>
      </c>
      <c r="V24" s="1">
        <f t="shared" si="5"/>
        <v>280</v>
      </c>
      <c r="W24" s="1">
        <f t="shared" si="6"/>
        <v>280</v>
      </c>
      <c r="X24" s="1">
        <v>28</v>
      </c>
      <c r="Y24" s="1">
        <v>19</v>
      </c>
      <c r="Z24" s="2">
        <f>Z23+200</f>
        <v>1400</v>
      </c>
      <c r="AA24" s="2">
        <v>43</v>
      </c>
      <c r="AB24" s="2">
        <v>18</v>
      </c>
      <c r="AC24" s="2">
        <f t="shared" si="10"/>
        <v>613</v>
      </c>
      <c r="AD24" s="1">
        <v>0</v>
      </c>
      <c r="AE24" s="1"/>
      <c r="AF24" s="1">
        <v>0</v>
      </c>
      <c r="AG24" s="2">
        <v>67</v>
      </c>
    </row>
    <row r="25" customHeight="1" spans="3:33">
      <c r="C25" s="1">
        <v>20</v>
      </c>
      <c r="D25" s="1">
        <v>20</v>
      </c>
      <c r="E25" s="1">
        <v>1</v>
      </c>
      <c r="F25" s="5" t="s">
        <v>54</v>
      </c>
      <c r="G25" s="1">
        <v>20</v>
      </c>
      <c r="H25" s="1">
        <f t="shared" si="7"/>
        <v>594080</v>
      </c>
      <c r="I25" s="1">
        <f t="shared" si="0"/>
        <v>185440</v>
      </c>
      <c r="J25" s="1">
        <f t="shared" si="9"/>
        <v>21760000</v>
      </c>
      <c r="K25" s="1">
        <f t="shared" si="1"/>
        <v>100</v>
      </c>
      <c r="L25" s="1">
        <f t="shared" si="2"/>
        <v>60</v>
      </c>
      <c r="M25" s="1">
        <f t="shared" si="3"/>
        <v>40</v>
      </c>
      <c r="N25" s="1">
        <f t="shared" si="4"/>
        <v>80</v>
      </c>
      <c r="O25" s="1">
        <v>19</v>
      </c>
      <c r="P25" s="6">
        <v>20</v>
      </c>
      <c r="Q25" s="2">
        <f t="shared" si="8"/>
        <v>46</v>
      </c>
      <c r="R25" s="1">
        <v>0</v>
      </c>
      <c r="S25" s="1">
        <v>0</v>
      </c>
      <c r="T25" s="6">
        <v>0</v>
      </c>
      <c r="U25" s="6">
        <v>0</v>
      </c>
      <c r="V25" s="1">
        <f t="shared" si="5"/>
        <v>290</v>
      </c>
      <c r="W25" s="1">
        <f t="shared" si="6"/>
        <v>290</v>
      </c>
      <c r="X25" s="1">
        <v>29</v>
      </c>
      <c r="Y25" s="1">
        <v>20</v>
      </c>
      <c r="Z25" s="2">
        <f>Z24+200</f>
        <v>1600</v>
      </c>
      <c r="AA25" s="2">
        <v>47</v>
      </c>
      <c r="AB25" s="2">
        <v>19</v>
      </c>
      <c r="AC25" s="2">
        <f t="shared" si="10"/>
        <v>680</v>
      </c>
      <c r="AD25" s="1">
        <v>0</v>
      </c>
      <c r="AE25" s="1"/>
      <c r="AF25" s="1">
        <v>0</v>
      </c>
      <c r="AG25" s="2">
        <v>71</v>
      </c>
    </row>
    <row r="26" customHeight="1" spans="3:33">
      <c r="C26" s="1">
        <v>21</v>
      </c>
      <c r="D26" s="1">
        <v>21</v>
      </c>
      <c r="E26" s="1">
        <v>1</v>
      </c>
      <c r="F26" s="5" t="s">
        <v>55</v>
      </c>
      <c r="G26" s="1">
        <v>21</v>
      </c>
      <c r="H26" s="1">
        <f t="shared" si="7"/>
        <v>791820</v>
      </c>
      <c r="I26" s="1">
        <f t="shared" si="0"/>
        <v>241200</v>
      </c>
      <c r="J26" s="1">
        <f t="shared" si="9"/>
        <v>28387800</v>
      </c>
      <c r="K26" s="1">
        <f t="shared" si="1"/>
        <v>105</v>
      </c>
      <c r="L26" s="1">
        <f t="shared" si="2"/>
        <v>63</v>
      </c>
      <c r="M26" s="1">
        <f t="shared" si="3"/>
        <v>42</v>
      </c>
      <c r="N26" s="1">
        <f t="shared" si="4"/>
        <v>84</v>
      </c>
      <c r="O26" s="1">
        <v>20</v>
      </c>
      <c r="P26" s="6">
        <v>21</v>
      </c>
      <c r="Q26" s="2">
        <f t="shared" si="8"/>
        <v>48</v>
      </c>
      <c r="R26" s="1">
        <v>0</v>
      </c>
      <c r="S26" s="1">
        <v>0</v>
      </c>
      <c r="T26" s="6">
        <v>0</v>
      </c>
      <c r="U26" s="6">
        <v>0</v>
      </c>
      <c r="V26" s="1">
        <f t="shared" si="5"/>
        <v>300</v>
      </c>
      <c r="W26" s="1">
        <f t="shared" si="6"/>
        <v>300</v>
      </c>
      <c r="X26" s="1">
        <v>30</v>
      </c>
      <c r="Y26" s="1">
        <v>21</v>
      </c>
      <c r="Z26" s="2">
        <f>Z25+200</f>
        <v>1800</v>
      </c>
      <c r="AA26" s="2">
        <v>53</v>
      </c>
      <c r="AB26" s="2">
        <v>20</v>
      </c>
      <c r="AC26" s="2">
        <f t="shared" si="10"/>
        <v>751</v>
      </c>
      <c r="AD26" s="1">
        <v>0</v>
      </c>
      <c r="AE26" s="1"/>
      <c r="AF26" s="1">
        <v>0</v>
      </c>
      <c r="AG26" s="2">
        <v>73</v>
      </c>
    </row>
    <row r="27" customHeight="1" spans="3:33">
      <c r="C27" s="1">
        <v>22</v>
      </c>
      <c r="D27" s="1">
        <v>22</v>
      </c>
      <c r="E27" s="1">
        <v>1</v>
      </c>
      <c r="F27" s="5" t="s">
        <v>56</v>
      </c>
      <c r="G27" s="1">
        <v>22</v>
      </c>
      <c r="H27" s="1">
        <f t="shared" si="7"/>
        <v>1050200</v>
      </c>
      <c r="I27" s="1">
        <f t="shared" si="0"/>
        <v>298200</v>
      </c>
      <c r="J27" s="1">
        <f t="shared" si="9"/>
        <v>36256000</v>
      </c>
      <c r="K27" s="1">
        <f t="shared" si="1"/>
        <v>110</v>
      </c>
      <c r="L27" s="1">
        <f t="shared" si="2"/>
        <v>66</v>
      </c>
      <c r="M27" s="1">
        <f t="shared" si="3"/>
        <v>44</v>
      </c>
      <c r="N27" s="1">
        <f t="shared" si="4"/>
        <v>88</v>
      </c>
      <c r="O27" s="1">
        <v>21</v>
      </c>
      <c r="P27" s="6">
        <v>22</v>
      </c>
      <c r="Q27" s="2">
        <f t="shared" si="8"/>
        <v>50</v>
      </c>
      <c r="R27" s="1">
        <v>0</v>
      </c>
      <c r="S27" s="1">
        <v>0</v>
      </c>
      <c r="T27" s="6">
        <v>0</v>
      </c>
      <c r="U27" s="6">
        <v>0</v>
      </c>
      <c r="V27" s="1">
        <f t="shared" si="5"/>
        <v>310</v>
      </c>
      <c r="W27" s="1">
        <f t="shared" si="6"/>
        <v>310</v>
      </c>
      <c r="X27" s="1">
        <v>31</v>
      </c>
      <c r="Y27" s="1">
        <v>22</v>
      </c>
      <c r="Z27" s="2">
        <f>Z26+200</f>
        <v>2000</v>
      </c>
      <c r="AA27" s="2">
        <v>59</v>
      </c>
      <c r="AB27" s="2">
        <v>21</v>
      </c>
      <c r="AC27" s="2">
        <f t="shared" si="10"/>
        <v>824</v>
      </c>
      <c r="AD27" s="1">
        <v>0</v>
      </c>
      <c r="AE27" s="1"/>
      <c r="AF27" s="1">
        <v>0</v>
      </c>
      <c r="AG27" s="2">
        <v>79</v>
      </c>
    </row>
    <row r="28" customHeight="1" spans="3:33">
      <c r="C28" s="1">
        <v>23</v>
      </c>
      <c r="D28" s="1">
        <v>23</v>
      </c>
      <c r="E28" s="1">
        <v>1</v>
      </c>
      <c r="F28" s="7" t="s">
        <v>57</v>
      </c>
      <c r="G28" s="1">
        <v>23</v>
      </c>
      <c r="H28" s="1">
        <f t="shared" si="7"/>
        <v>1479250</v>
      </c>
      <c r="I28" s="1">
        <f t="shared" si="0"/>
        <v>401500</v>
      </c>
      <c r="J28" s="1">
        <f t="shared" si="9"/>
        <v>51922500</v>
      </c>
      <c r="K28" s="1">
        <f t="shared" si="1"/>
        <v>115</v>
      </c>
      <c r="L28" s="1">
        <f t="shared" si="2"/>
        <v>69</v>
      </c>
      <c r="M28" s="1">
        <f t="shared" si="3"/>
        <v>46</v>
      </c>
      <c r="N28" s="1">
        <f t="shared" si="4"/>
        <v>92</v>
      </c>
      <c r="O28" s="1">
        <v>22</v>
      </c>
      <c r="P28" s="6">
        <v>23</v>
      </c>
      <c r="Q28" s="2">
        <f>Q27+5</f>
        <v>55</v>
      </c>
      <c r="R28" s="1">
        <v>0</v>
      </c>
      <c r="S28" s="1">
        <v>0</v>
      </c>
      <c r="T28" s="6">
        <v>0</v>
      </c>
      <c r="U28" s="6">
        <v>0</v>
      </c>
      <c r="V28" s="1">
        <f t="shared" si="5"/>
        <v>320</v>
      </c>
      <c r="W28" s="1">
        <f t="shared" si="6"/>
        <v>320</v>
      </c>
      <c r="X28" s="1">
        <v>32</v>
      </c>
      <c r="Y28" s="1">
        <v>23</v>
      </c>
      <c r="Z28" s="2">
        <f t="shared" ref="Z28:Z33" si="12">Z27+500</f>
        <v>2500</v>
      </c>
      <c r="AA28" s="2">
        <v>61</v>
      </c>
      <c r="AB28" s="2">
        <v>22</v>
      </c>
      <c r="AC28" s="2">
        <f t="shared" si="10"/>
        <v>903</v>
      </c>
      <c r="AD28" s="1">
        <v>0</v>
      </c>
      <c r="AE28" s="1"/>
      <c r="AF28" s="1">
        <v>0</v>
      </c>
      <c r="AG28" s="2">
        <v>83</v>
      </c>
    </row>
    <row r="29" customHeight="1" spans="3:33">
      <c r="C29" s="1">
        <v>24</v>
      </c>
      <c r="D29" s="1">
        <v>24</v>
      </c>
      <c r="E29" s="1">
        <v>1</v>
      </c>
      <c r="F29" s="3" t="s">
        <v>58</v>
      </c>
      <c r="G29" s="1">
        <v>24</v>
      </c>
      <c r="H29" s="1">
        <f t="shared" si="7"/>
        <v>2030100</v>
      </c>
      <c r="I29" s="1">
        <f t="shared" si="0"/>
        <v>545100</v>
      </c>
      <c r="J29" s="1">
        <f t="shared" si="9"/>
        <v>70992000</v>
      </c>
      <c r="K29" s="1">
        <f t="shared" si="1"/>
        <v>120</v>
      </c>
      <c r="L29" s="1">
        <f t="shared" si="2"/>
        <v>72</v>
      </c>
      <c r="M29" s="1">
        <f t="shared" si="3"/>
        <v>48</v>
      </c>
      <c r="N29" s="1">
        <f t="shared" si="4"/>
        <v>96</v>
      </c>
      <c r="O29" s="1">
        <v>23</v>
      </c>
      <c r="P29" s="6">
        <v>24</v>
      </c>
      <c r="Q29" s="2">
        <f t="shared" ref="Q29:Q77" si="13">Q28+5</f>
        <v>60</v>
      </c>
      <c r="R29" s="1">
        <v>0</v>
      </c>
      <c r="S29" s="1">
        <v>0</v>
      </c>
      <c r="T29" s="6">
        <v>0</v>
      </c>
      <c r="U29" s="6">
        <v>0</v>
      </c>
      <c r="V29" s="1">
        <f t="shared" si="5"/>
        <v>330</v>
      </c>
      <c r="W29" s="1">
        <f t="shared" si="6"/>
        <v>330</v>
      </c>
      <c r="X29" s="1">
        <v>33</v>
      </c>
      <c r="Y29" s="1">
        <v>24</v>
      </c>
      <c r="Z29" s="2">
        <f t="shared" si="12"/>
        <v>3000</v>
      </c>
      <c r="AA29" s="2">
        <v>67</v>
      </c>
      <c r="AB29" s="2">
        <v>23</v>
      </c>
      <c r="AC29" s="2">
        <f t="shared" si="10"/>
        <v>986</v>
      </c>
      <c r="AD29" s="1">
        <v>0</v>
      </c>
      <c r="AE29" s="1"/>
      <c r="AF29" s="1">
        <v>0</v>
      </c>
      <c r="AG29" s="2">
        <v>89</v>
      </c>
    </row>
    <row r="30" customHeight="1" spans="3:33">
      <c r="C30" s="1">
        <v>25</v>
      </c>
      <c r="D30" s="1">
        <v>25</v>
      </c>
      <c r="E30" s="1">
        <v>1</v>
      </c>
      <c r="F30" s="5" t="s">
        <v>59</v>
      </c>
      <c r="G30" s="1">
        <v>25</v>
      </c>
      <c r="H30" s="1">
        <f t="shared" si="7"/>
        <v>2559550</v>
      </c>
      <c r="I30" s="1">
        <f t="shared" si="0"/>
        <v>697200</v>
      </c>
      <c r="J30" s="1">
        <f t="shared" si="9"/>
        <v>94062500</v>
      </c>
      <c r="K30" s="1">
        <f t="shared" si="1"/>
        <v>125</v>
      </c>
      <c r="L30" s="1">
        <f t="shared" si="2"/>
        <v>75</v>
      </c>
      <c r="M30" s="1">
        <f t="shared" si="3"/>
        <v>50</v>
      </c>
      <c r="N30" s="1">
        <f t="shared" si="4"/>
        <v>100</v>
      </c>
      <c r="O30" s="1">
        <v>24</v>
      </c>
      <c r="P30" s="6">
        <v>25</v>
      </c>
      <c r="Q30" s="2">
        <f t="shared" si="13"/>
        <v>65</v>
      </c>
      <c r="R30" s="1">
        <v>0</v>
      </c>
      <c r="S30" s="1">
        <v>0</v>
      </c>
      <c r="T30" s="6">
        <v>0</v>
      </c>
      <c r="U30" s="6">
        <v>0</v>
      </c>
      <c r="V30" s="1">
        <f t="shared" si="5"/>
        <v>340</v>
      </c>
      <c r="W30" s="1">
        <f t="shared" si="6"/>
        <v>340</v>
      </c>
      <c r="X30" s="1">
        <v>34</v>
      </c>
      <c r="Y30" s="1">
        <v>25</v>
      </c>
      <c r="Z30" s="2">
        <f t="shared" si="12"/>
        <v>3500</v>
      </c>
      <c r="AA30" s="2">
        <v>71</v>
      </c>
      <c r="AB30" s="2">
        <v>24</v>
      </c>
      <c r="AC30" s="2">
        <f t="shared" si="10"/>
        <v>1075</v>
      </c>
      <c r="AD30" s="1">
        <v>0</v>
      </c>
      <c r="AE30" s="1"/>
      <c r="AF30" s="1">
        <v>0</v>
      </c>
      <c r="AG30" s="2">
        <v>97</v>
      </c>
    </row>
    <row r="31" customHeight="1" spans="3:33">
      <c r="C31" s="1">
        <v>26</v>
      </c>
      <c r="D31" s="1">
        <v>26</v>
      </c>
      <c r="E31" s="1">
        <v>1</v>
      </c>
      <c r="F31" s="5" t="s">
        <v>60</v>
      </c>
      <c r="G31" s="1">
        <v>26</v>
      </c>
      <c r="H31" s="1">
        <f t="shared" si="7"/>
        <v>3124400</v>
      </c>
      <c r="I31" s="1">
        <f t="shared" si="0"/>
        <v>890000</v>
      </c>
      <c r="J31" s="1">
        <f t="shared" si="9"/>
        <v>121888000</v>
      </c>
      <c r="K31" s="1">
        <f t="shared" si="1"/>
        <v>130</v>
      </c>
      <c r="L31" s="1">
        <f t="shared" si="2"/>
        <v>78</v>
      </c>
      <c r="M31" s="1">
        <f t="shared" si="3"/>
        <v>52</v>
      </c>
      <c r="N31" s="1">
        <f t="shared" si="4"/>
        <v>104</v>
      </c>
      <c r="O31" s="1">
        <v>25</v>
      </c>
      <c r="P31" s="6">
        <v>26</v>
      </c>
      <c r="Q31" s="2">
        <f t="shared" si="13"/>
        <v>70</v>
      </c>
      <c r="R31" s="1">
        <v>0</v>
      </c>
      <c r="S31" s="1">
        <v>0</v>
      </c>
      <c r="T31" s="6">
        <v>0</v>
      </c>
      <c r="U31" s="6">
        <v>0</v>
      </c>
      <c r="V31" s="1">
        <f t="shared" si="5"/>
        <v>350</v>
      </c>
      <c r="W31" s="1">
        <f t="shared" si="6"/>
        <v>350</v>
      </c>
      <c r="X31" s="1">
        <v>35</v>
      </c>
      <c r="Y31" s="1">
        <v>26</v>
      </c>
      <c r="Z31" s="2">
        <f t="shared" si="12"/>
        <v>4000</v>
      </c>
      <c r="AA31" s="2">
        <v>73</v>
      </c>
      <c r="AB31" s="2">
        <v>25</v>
      </c>
      <c r="AC31" s="2">
        <f t="shared" si="10"/>
        <v>1172</v>
      </c>
      <c r="AD31" s="1">
        <v>0</v>
      </c>
      <c r="AE31" s="1"/>
      <c r="AF31" s="1">
        <v>0</v>
      </c>
      <c r="AG31" s="2">
        <v>101</v>
      </c>
    </row>
    <row r="32" customHeight="1" spans="3:33">
      <c r="C32" s="1">
        <v>27</v>
      </c>
      <c r="D32" s="1">
        <v>27</v>
      </c>
      <c r="E32" s="1">
        <v>1</v>
      </c>
      <c r="F32" s="8" t="s">
        <v>61</v>
      </c>
      <c r="G32" s="1">
        <v>27</v>
      </c>
      <c r="H32" s="1">
        <f t="shared" si="7"/>
        <v>3874950</v>
      </c>
      <c r="I32" s="1">
        <f t="shared" si="0"/>
        <v>1134900</v>
      </c>
      <c r="J32" s="1">
        <f t="shared" si="9"/>
        <v>154669500</v>
      </c>
      <c r="K32" s="1">
        <f t="shared" si="1"/>
        <v>135</v>
      </c>
      <c r="L32" s="1">
        <f t="shared" si="2"/>
        <v>81</v>
      </c>
      <c r="M32" s="1">
        <f t="shared" si="3"/>
        <v>54</v>
      </c>
      <c r="N32" s="1">
        <f t="shared" si="4"/>
        <v>108</v>
      </c>
      <c r="O32" s="1">
        <v>26</v>
      </c>
      <c r="P32" s="6">
        <v>27</v>
      </c>
      <c r="Q32" s="2">
        <f t="shared" si="13"/>
        <v>75</v>
      </c>
      <c r="R32" s="1">
        <v>0</v>
      </c>
      <c r="S32" s="1">
        <v>0</v>
      </c>
      <c r="T32" s="6">
        <v>0</v>
      </c>
      <c r="U32" s="6">
        <v>0</v>
      </c>
      <c r="V32" s="1">
        <f t="shared" si="5"/>
        <v>360</v>
      </c>
      <c r="W32" s="1">
        <f t="shared" si="6"/>
        <v>360</v>
      </c>
      <c r="X32" s="1">
        <v>36</v>
      </c>
      <c r="Y32" s="1">
        <v>27</v>
      </c>
      <c r="Z32" s="2">
        <f t="shared" si="12"/>
        <v>4500</v>
      </c>
      <c r="AA32" s="2">
        <v>79</v>
      </c>
      <c r="AB32" s="2">
        <v>26</v>
      </c>
      <c r="AC32" s="2">
        <f t="shared" si="10"/>
        <v>1273</v>
      </c>
      <c r="AD32" s="1">
        <v>0</v>
      </c>
      <c r="AE32" s="1"/>
      <c r="AF32" s="1">
        <v>0</v>
      </c>
      <c r="AG32" s="2">
        <v>103</v>
      </c>
    </row>
    <row r="33" customHeight="1" spans="1:33">
      <c r="C33" s="1">
        <v>28</v>
      </c>
      <c r="D33" s="1">
        <v>28</v>
      </c>
      <c r="E33" s="1">
        <v>1</v>
      </c>
      <c r="F33" s="5" t="s">
        <v>62</v>
      </c>
      <c r="G33" s="1">
        <v>28</v>
      </c>
      <c r="H33" s="1">
        <f t="shared" si="7"/>
        <v>4689500</v>
      </c>
      <c r="I33" s="1">
        <f t="shared" si="0"/>
        <v>1363500</v>
      </c>
      <c r="J33" s="1">
        <f t="shared" si="9"/>
        <v>192640000</v>
      </c>
      <c r="K33" s="1">
        <f t="shared" si="1"/>
        <v>140</v>
      </c>
      <c r="L33" s="1">
        <f t="shared" si="2"/>
        <v>84</v>
      </c>
      <c r="M33" s="1">
        <f t="shared" si="3"/>
        <v>56</v>
      </c>
      <c r="N33" s="1">
        <f t="shared" si="4"/>
        <v>112</v>
      </c>
      <c r="O33" s="1">
        <v>27</v>
      </c>
      <c r="P33" s="6">
        <v>28</v>
      </c>
      <c r="Q33" s="2">
        <f t="shared" si="13"/>
        <v>80</v>
      </c>
      <c r="R33" s="1">
        <v>0</v>
      </c>
      <c r="S33" s="1">
        <v>0</v>
      </c>
      <c r="T33" s="6">
        <v>0</v>
      </c>
      <c r="U33" s="6">
        <v>0</v>
      </c>
      <c r="V33" s="1">
        <f t="shared" si="5"/>
        <v>370</v>
      </c>
      <c r="W33" s="1">
        <f t="shared" si="6"/>
        <v>370</v>
      </c>
      <c r="X33" s="1">
        <v>37</v>
      </c>
      <c r="Y33" s="1">
        <v>28</v>
      </c>
      <c r="Z33" s="2">
        <f t="shared" si="12"/>
        <v>5000</v>
      </c>
      <c r="AA33" s="2">
        <v>83</v>
      </c>
      <c r="AB33" s="2">
        <v>27</v>
      </c>
      <c r="AC33" s="2">
        <f t="shared" si="10"/>
        <v>1376</v>
      </c>
      <c r="AD33" s="1">
        <v>0</v>
      </c>
      <c r="AE33" s="1"/>
      <c r="AF33" s="1">
        <v>0</v>
      </c>
      <c r="AG33" s="2">
        <v>107</v>
      </c>
    </row>
    <row r="34" customHeight="1" spans="1:33">
      <c r="C34" s="1">
        <v>29</v>
      </c>
      <c r="D34" s="1">
        <v>29</v>
      </c>
      <c r="E34" s="1">
        <v>1</v>
      </c>
      <c r="F34" s="8" t="s">
        <v>63</v>
      </c>
      <c r="G34" s="1">
        <v>29</v>
      </c>
      <c r="H34" s="1">
        <f t="shared" si="7"/>
        <v>6781800</v>
      </c>
      <c r="I34" s="1">
        <f t="shared" si="0"/>
        <v>1730400</v>
      </c>
      <c r="J34" s="1">
        <f t="shared" si="9"/>
        <v>258042000</v>
      </c>
      <c r="K34" s="1">
        <f t="shared" si="1"/>
        <v>145</v>
      </c>
      <c r="L34" s="1">
        <f t="shared" si="2"/>
        <v>87</v>
      </c>
      <c r="M34" s="1">
        <f t="shared" si="3"/>
        <v>58</v>
      </c>
      <c r="N34" s="1">
        <f t="shared" si="4"/>
        <v>116</v>
      </c>
      <c r="O34" s="1">
        <v>28</v>
      </c>
      <c r="P34" s="6">
        <v>29</v>
      </c>
      <c r="Q34" s="2">
        <f t="shared" si="13"/>
        <v>85</v>
      </c>
      <c r="R34" s="1">
        <v>0</v>
      </c>
      <c r="S34" s="1">
        <v>0</v>
      </c>
      <c r="T34" s="6">
        <v>0</v>
      </c>
      <c r="U34" s="6">
        <v>0</v>
      </c>
      <c r="V34" s="1">
        <f t="shared" si="5"/>
        <v>380</v>
      </c>
      <c r="W34" s="1">
        <f t="shared" si="6"/>
        <v>380</v>
      </c>
      <c r="X34" s="1">
        <v>38</v>
      </c>
      <c r="Y34" s="1">
        <v>29</v>
      </c>
      <c r="Z34" s="2">
        <f>Z33+1000</f>
        <v>6000</v>
      </c>
      <c r="AA34" s="2">
        <v>89</v>
      </c>
      <c r="AB34" s="2">
        <v>28</v>
      </c>
      <c r="AC34" s="2">
        <f t="shared" si="10"/>
        <v>1483</v>
      </c>
      <c r="AD34" s="1">
        <v>0</v>
      </c>
      <c r="AE34" s="1"/>
      <c r="AF34" s="1">
        <v>0</v>
      </c>
      <c r="AG34" s="2">
        <v>109</v>
      </c>
    </row>
    <row r="35" customHeight="1" spans="1:33">
      <c r="C35" s="1">
        <v>30</v>
      </c>
      <c r="D35" s="1">
        <v>30</v>
      </c>
      <c r="E35" s="1">
        <v>1</v>
      </c>
      <c r="F35" s="3" t="s">
        <v>64</v>
      </c>
      <c r="G35" s="1">
        <v>30</v>
      </c>
      <c r="H35" s="1">
        <f t="shared" si="7"/>
        <v>8894900</v>
      </c>
      <c r="I35" s="1">
        <f t="shared" si="0"/>
        <v>2172100</v>
      </c>
      <c r="J35" s="1">
        <f t="shared" si="9"/>
        <v>334320000</v>
      </c>
      <c r="K35" s="1">
        <f t="shared" si="1"/>
        <v>150</v>
      </c>
      <c r="L35" s="1">
        <f t="shared" si="2"/>
        <v>90</v>
      </c>
      <c r="M35" s="1">
        <f t="shared" si="3"/>
        <v>60</v>
      </c>
      <c r="N35" s="1">
        <f t="shared" si="4"/>
        <v>120</v>
      </c>
      <c r="O35" s="1">
        <v>29</v>
      </c>
      <c r="P35" s="6">
        <v>30</v>
      </c>
      <c r="Q35" s="2">
        <f t="shared" si="13"/>
        <v>90</v>
      </c>
      <c r="R35" s="1">
        <v>0</v>
      </c>
      <c r="S35" s="1">
        <v>0</v>
      </c>
      <c r="T35" s="6">
        <v>0</v>
      </c>
      <c r="U35" s="6">
        <v>0</v>
      </c>
      <c r="V35" s="1">
        <f t="shared" si="5"/>
        <v>390</v>
      </c>
      <c r="W35" s="1">
        <f t="shared" si="6"/>
        <v>390</v>
      </c>
      <c r="X35" s="1">
        <v>39</v>
      </c>
      <c r="Y35" s="1">
        <v>30</v>
      </c>
      <c r="Z35" s="2">
        <f>Z34+1000</f>
        <v>7000</v>
      </c>
      <c r="AA35" s="2">
        <v>97</v>
      </c>
      <c r="AB35" s="2">
        <v>29</v>
      </c>
      <c r="AC35" s="2">
        <f t="shared" si="10"/>
        <v>1592</v>
      </c>
      <c r="AD35" s="1">
        <v>0</v>
      </c>
      <c r="AE35" s="1"/>
      <c r="AF35" s="1">
        <v>0</v>
      </c>
      <c r="AG35" s="2">
        <v>113</v>
      </c>
    </row>
    <row r="36" customHeight="1" spans="1:33">
      <c r="C36" s="1">
        <v>31</v>
      </c>
      <c r="D36" s="1">
        <v>31</v>
      </c>
      <c r="E36" s="1">
        <v>1</v>
      </c>
      <c r="F36" s="5" t="s">
        <v>65</v>
      </c>
      <c r="G36" s="1">
        <v>31</v>
      </c>
      <c r="H36" s="1">
        <f t="shared" si="7"/>
        <v>11069600</v>
      </c>
      <c r="I36" s="1">
        <f t="shared" si="0"/>
        <v>2616000</v>
      </c>
      <c r="J36" s="1">
        <f t="shared" si="9"/>
        <v>422840000</v>
      </c>
      <c r="K36" s="1">
        <f t="shared" si="1"/>
        <v>155</v>
      </c>
      <c r="L36" s="1">
        <f t="shared" si="2"/>
        <v>93</v>
      </c>
      <c r="M36" s="1">
        <f t="shared" si="3"/>
        <v>62</v>
      </c>
      <c r="N36" s="1">
        <f t="shared" si="4"/>
        <v>124</v>
      </c>
      <c r="O36" s="1">
        <v>30</v>
      </c>
      <c r="P36" s="6">
        <v>31</v>
      </c>
      <c r="Q36" s="2">
        <f t="shared" si="13"/>
        <v>95</v>
      </c>
      <c r="R36" s="1">
        <v>0</v>
      </c>
      <c r="S36" s="1">
        <v>0</v>
      </c>
      <c r="T36" s="6">
        <v>0</v>
      </c>
      <c r="U36" s="6">
        <v>0</v>
      </c>
      <c r="V36" s="1">
        <f t="shared" si="5"/>
        <v>400</v>
      </c>
      <c r="W36" s="1">
        <f t="shared" si="6"/>
        <v>400</v>
      </c>
      <c r="X36" s="1">
        <v>40</v>
      </c>
      <c r="Y36" s="1">
        <v>31</v>
      </c>
      <c r="Z36" s="2">
        <f>Z35+1000</f>
        <v>8000</v>
      </c>
      <c r="AA36" s="2">
        <v>101</v>
      </c>
      <c r="AB36" s="2">
        <v>30</v>
      </c>
      <c r="AC36" s="2">
        <f t="shared" si="10"/>
        <v>1705</v>
      </c>
      <c r="AD36" s="1">
        <v>0</v>
      </c>
      <c r="AE36" s="1"/>
      <c r="AF36" s="1">
        <v>0</v>
      </c>
      <c r="AG36" s="2">
        <v>127</v>
      </c>
    </row>
    <row r="37" customHeight="1" spans="1:33">
      <c r="C37" s="1">
        <v>32</v>
      </c>
      <c r="D37" s="1">
        <v>32</v>
      </c>
      <c r="E37" s="1">
        <v>1</v>
      </c>
      <c r="F37" s="5" t="s">
        <v>66</v>
      </c>
      <c r="G37" s="1">
        <v>32</v>
      </c>
      <c r="H37" s="1">
        <f t="shared" si="7"/>
        <v>12885300</v>
      </c>
      <c r="I37" s="1">
        <f t="shared" si="0"/>
        <v>3152700</v>
      </c>
      <c r="J37" s="1">
        <f t="shared" si="9"/>
        <v>527616000</v>
      </c>
      <c r="K37" s="1">
        <f t="shared" si="1"/>
        <v>160</v>
      </c>
      <c r="L37" s="1">
        <f t="shared" si="2"/>
        <v>96</v>
      </c>
      <c r="M37" s="1">
        <f t="shared" si="3"/>
        <v>64</v>
      </c>
      <c r="N37" s="1">
        <f t="shared" si="4"/>
        <v>128</v>
      </c>
      <c r="O37" s="1">
        <v>31</v>
      </c>
      <c r="P37" s="6">
        <v>32</v>
      </c>
      <c r="Q37" s="2">
        <f t="shared" si="13"/>
        <v>100</v>
      </c>
      <c r="R37" s="1">
        <v>0</v>
      </c>
      <c r="S37" s="1">
        <v>0</v>
      </c>
      <c r="T37" s="6">
        <v>0</v>
      </c>
      <c r="U37" s="6">
        <v>0</v>
      </c>
      <c r="V37" s="1">
        <f t="shared" si="5"/>
        <v>410</v>
      </c>
      <c r="W37" s="1">
        <f t="shared" si="6"/>
        <v>410</v>
      </c>
      <c r="X37" s="1">
        <v>41</v>
      </c>
      <c r="Y37" s="1">
        <v>32</v>
      </c>
      <c r="Z37" s="2">
        <f>Z36+1000</f>
        <v>9000</v>
      </c>
      <c r="AA37" s="2">
        <v>103</v>
      </c>
      <c r="AB37" s="2">
        <v>31</v>
      </c>
      <c r="AC37" s="2">
        <f t="shared" si="10"/>
        <v>1832</v>
      </c>
      <c r="AD37" s="1">
        <v>0</v>
      </c>
      <c r="AE37" s="1"/>
      <c r="AF37" s="1">
        <v>0</v>
      </c>
      <c r="AG37" s="2">
        <v>131</v>
      </c>
    </row>
    <row r="38" customHeight="1" spans="1:33">
      <c r="C38" s="1">
        <v>33</v>
      </c>
      <c r="D38" s="1">
        <v>33</v>
      </c>
      <c r="E38" s="1">
        <v>1</v>
      </c>
      <c r="F38" s="5" t="s">
        <v>67</v>
      </c>
      <c r="G38" s="1">
        <v>33</v>
      </c>
      <c r="H38" s="1">
        <f t="shared" si="7"/>
        <v>15943000</v>
      </c>
      <c r="I38" s="1">
        <f t="shared" si="0"/>
        <v>4064000</v>
      </c>
      <c r="J38" s="1">
        <f t="shared" si="9"/>
        <v>647790000</v>
      </c>
      <c r="K38" s="1">
        <f t="shared" si="1"/>
        <v>165</v>
      </c>
      <c r="L38" s="1">
        <f t="shared" si="2"/>
        <v>99</v>
      </c>
      <c r="M38" s="1">
        <f t="shared" si="3"/>
        <v>66</v>
      </c>
      <c r="N38" s="1">
        <f t="shared" si="4"/>
        <v>132</v>
      </c>
      <c r="O38" s="1">
        <v>32</v>
      </c>
      <c r="P38" s="6">
        <v>33</v>
      </c>
      <c r="Q38" s="2">
        <f t="shared" si="13"/>
        <v>105</v>
      </c>
      <c r="R38" s="1">
        <v>0</v>
      </c>
      <c r="S38" s="1">
        <v>0</v>
      </c>
      <c r="T38" s="6">
        <v>0</v>
      </c>
      <c r="U38" s="6">
        <v>0</v>
      </c>
      <c r="V38" s="1">
        <f t="shared" si="5"/>
        <v>420</v>
      </c>
      <c r="W38" s="1">
        <f t="shared" si="6"/>
        <v>420</v>
      </c>
      <c r="X38" s="1">
        <v>42</v>
      </c>
      <c r="Y38" s="1">
        <v>33</v>
      </c>
      <c r="Z38" s="2">
        <f>Z37+1000</f>
        <v>10000</v>
      </c>
      <c r="AA38" s="2">
        <v>107</v>
      </c>
      <c r="AB38" s="2">
        <v>32</v>
      </c>
      <c r="AC38" s="2">
        <f t="shared" si="10"/>
        <v>1963</v>
      </c>
      <c r="AD38" s="1">
        <v>0</v>
      </c>
      <c r="AE38" s="1"/>
      <c r="AF38" s="1">
        <v>0</v>
      </c>
      <c r="AG38" s="2">
        <v>137</v>
      </c>
    </row>
    <row r="39" customHeight="1" spans="1:33">
      <c r="C39" s="1">
        <v>34</v>
      </c>
      <c r="D39" s="1">
        <v>34</v>
      </c>
      <c r="E39" s="1">
        <v>1</v>
      </c>
      <c r="F39" s="5" t="s">
        <v>68</v>
      </c>
      <c r="G39" s="1">
        <v>34</v>
      </c>
      <c r="H39" s="1">
        <f t="shared" si="7"/>
        <v>19750800</v>
      </c>
      <c r="I39" s="1">
        <f t="shared" si="0"/>
        <v>5187600</v>
      </c>
      <c r="J39" s="1">
        <f t="shared" si="9"/>
        <v>856800000</v>
      </c>
      <c r="K39" s="1">
        <f t="shared" si="1"/>
        <v>170</v>
      </c>
      <c r="L39" s="1">
        <f t="shared" si="2"/>
        <v>102</v>
      </c>
      <c r="M39" s="1">
        <f t="shared" si="3"/>
        <v>68</v>
      </c>
      <c r="N39" s="1">
        <f t="shared" si="4"/>
        <v>136</v>
      </c>
      <c r="O39" s="1">
        <v>33</v>
      </c>
      <c r="P39" s="6">
        <v>34</v>
      </c>
      <c r="Q39" s="2">
        <f t="shared" si="13"/>
        <v>110</v>
      </c>
      <c r="R39" s="1">
        <v>0</v>
      </c>
      <c r="S39" s="1">
        <v>0</v>
      </c>
      <c r="T39" s="6">
        <v>0</v>
      </c>
      <c r="U39" s="6">
        <v>0</v>
      </c>
      <c r="V39" s="1">
        <f t="shared" si="5"/>
        <v>430</v>
      </c>
      <c r="W39" s="1">
        <f t="shared" si="6"/>
        <v>430</v>
      </c>
      <c r="X39" s="1">
        <v>43</v>
      </c>
      <c r="Y39" s="1">
        <v>34</v>
      </c>
      <c r="Z39" s="2">
        <f t="shared" ref="Z39:Z45" si="14">Z38+2000</f>
        <v>12000</v>
      </c>
      <c r="AA39" s="2">
        <v>109</v>
      </c>
      <c r="AB39" s="2">
        <v>33</v>
      </c>
      <c r="AC39" s="2">
        <f t="shared" si="10"/>
        <v>2100</v>
      </c>
      <c r="AD39" s="1">
        <v>0</v>
      </c>
      <c r="AE39" s="1"/>
      <c r="AF39" s="1">
        <v>0</v>
      </c>
      <c r="AG39" s="2">
        <v>139</v>
      </c>
    </row>
    <row r="40" customHeight="1" spans="1:33">
      <c r="C40" s="1">
        <v>35</v>
      </c>
      <c r="D40" s="1">
        <v>35</v>
      </c>
      <c r="E40" s="1">
        <v>1</v>
      </c>
      <c r="F40" s="5" t="s">
        <v>69</v>
      </c>
      <c r="G40" s="1">
        <v>35</v>
      </c>
      <c r="H40" s="1">
        <f t="shared" si="7"/>
        <v>24837400</v>
      </c>
      <c r="I40" s="1">
        <f t="shared" si="0"/>
        <v>6521200</v>
      </c>
      <c r="J40" s="1">
        <f t="shared" si="9"/>
        <v>1097110000</v>
      </c>
      <c r="K40" s="1">
        <f t="shared" si="1"/>
        <v>175</v>
      </c>
      <c r="L40" s="1">
        <f t="shared" si="2"/>
        <v>105</v>
      </c>
      <c r="M40" s="1">
        <f t="shared" si="3"/>
        <v>70</v>
      </c>
      <c r="N40" s="1">
        <f t="shared" si="4"/>
        <v>140</v>
      </c>
      <c r="O40" s="1">
        <v>34</v>
      </c>
      <c r="P40" s="6">
        <v>35</v>
      </c>
      <c r="Q40" s="2">
        <f t="shared" si="13"/>
        <v>115</v>
      </c>
      <c r="R40" s="1">
        <v>0</v>
      </c>
      <c r="S40" s="1">
        <v>0</v>
      </c>
      <c r="T40" s="6">
        <v>0</v>
      </c>
      <c r="U40" s="6">
        <v>0</v>
      </c>
      <c r="V40" s="1">
        <f t="shared" si="5"/>
        <v>440</v>
      </c>
      <c r="W40" s="1">
        <f t="shared" si="6"/>
        <v>440</v>
      </c>
      <c r="X40" s="1">
        <v>44</v>
      </c>
      <c r="Y40" s="1">
        <v>35</v>
      </c>
      <c r="Z40" s="2">
        <f t="shared" si="14"/>
        <v>14000</v>
      </c>
      <c r="AA40" s="2">
        <v>113</v>
      </c>
      <c r="AB40" s="2">
        <v>34</v>
      </c>
      <c r="AC40" s="2">
        <f t="shared" si="10"/>
        <v>2239</v>
      </c>
      <c r="AD40" s="1">
        <v>0</v>
      </c>
      <c r="AE40" s="1"/>
      <c r="AF40" s="1">
        <v>0</v>
      </c>
      <c r="AG40" s="1">
        <v>149</v>
      </c>
    </row>
    <row r="41" s="1" customFormat="1" customHeight="1" spans="1:33">
      <c r="A41" s="2"/>
      <c r="C41" s="1">
        <v>36</v>
      </c>
      <c r="D41" s="1">
        <v>36</v>
      </c>
      <c r="E41" s="1">
        <v>1</v>
      </c>
      <c r="F41" s="3" t="s">
        <v>70</v>
      </c>
      <c r="G41" s="1">
        <v>36</v>
      </c>
      <c r="H41" s="1">
        <f t="shared" si="7"/>
        <v>33121600</v>
      </c>
      <c r="I41" s="1">
        <f t="shared" si="0"/>
        <v>7784000</v>
      </c>
      <c r="J41" s="1">
        <f t="shared" si="9"/>
        <v>1375488000</v>
      </c>
      <c r="K41" s="1">
        <f t="shared" si="1"/>
        <v>180</v>
      </c>
      <c r="L41" s="1">
        <f t="shared" si="2"/>
        <v>108</v>
      </c>
      <c r="M41" s="1">
        <f t="shared" si="3"/>
        <v>72</v>
      </c>
      <c r="N41" s="1">
        <f t="shared" si="4"/>
        <v>144</v>
      </c>
      <c r="O41" s="1">
        <v>35</v>
      </c>
      <c r="P41" s="6">
        <v>36</v>
      </c>
      <c r="Q41" s="2">
        <f t="shared" si="13"/>
        <v>120</v>
      </c>
      <c r="R41" s="1">
        <v>0</v>
      </c>
      <c r="S41" s="1">
        <v>0</v>
      </c>
      <c r="T41" s="6">
        <v>0</v>
      </c>
      <c r="U41" s="6">
        <v>0</v>
      </c>
      <c r="V41" s="1">
        <f t="shared" si="5"/>
        <v>450</v>
      </c>
      <c r="W41" s="1">
        <f t="shared" si="6"/>
        <v>450</v>
      </c>
      <c r="X41" s="1">
        <v>45</v>
      </c>
      <c r="Y41" s="1">
        <v>36</v>
      </c>
      <c r="Z41" s="2">
        <f t="shared" si="14"/>
        <v>16000</v>
      </c>
      <c r="AA41" s="2">
        <v>127</v>
      </c>
      <c r="AB41" s="2">
        <v>35</v>
      </c>
      <c r="AC41" s="2">
        <f t="shared" si="10"/>
        <v>2388</v>
      </c>
      <c r="AD41" s="1">
        <v>0</v>
      </c>
      <c r="AF41" s="1">
        <v>0</v>
      </c>
      <c r="AG41" s="1">
        <v>151</v>
      </c>
    </row>
    <row r="42" s="1" customFormat="1" customHeight="1" spans="1:33">
      <c r="A42" s="2"/>
      <c r="C42" s="1">
        <v>37</v>
      </c>
      <c r="D42" s="1">
        <v>37</v>
      </c>
      <c r="E42" s="1">
        <v>1</v>
      </c>
      <c r="F42" s="7" t="s">
        <v>71</v>
      </c>
      <c r="G42" s="1">
        <v>37</v>
      </c>
      <c r="H42" s="1">
        <f t="shared" si="7"/>
        <v>39378600</v>
      </c>
      <c r="I42" s="1">
        <f t="shared" si="0"/>
        <v>9655200</v>
      </c>
      <c r="J42" s="1">
        <f t="shared" si="9"/>
        <v>1690974000</v>
      </c>
      <c r="K42" s="1">
        <f t="shared" si="1"/>
        <v>185</v>
      </c>
      <c r="L42" s="1">
        <f t="shared" si="2"/>
        <v>111</v>
      </c>
      <c r="M42" s="1">
        <f t="shared" si="3"/>
        <v>74</v>
      </c>
      <c r="N42" s="1">
        <f t="shared" si="4"/>
        <v>148</v>
      </c>
      <c r="O42" s="1">
        <v>36</v>
      </c>
      <c r="P42" s="6">
        <v>37</v>
      </c>
      <c r="Q42" s="2">
        <f t="shared" si="13"/>
        <v>125</v>
      </c>
      <c r="R42" s="1">
        <v>0</v>
      </c>
      <c r="S42" s="1">
        <v>0</v>
      </c>
      <c r="T42" s="6">
        <v>0</v>
      </c>
      <c r="U42" s="6">
        <v>0</v>
      </c>
      <c r="V42" s="1">
        <f t="shared" si="5"/>
        <v>460</v>
      </c>
      <c r="W42" s="1">
        <f t="shared" si="6"/>
        <v>460</v>
      </c>
      <c r="X42" s="1">
        <v>46</v>
      </c>
      <c r="Y42" s="1">
        <v>37</v>
      </c>
      <c r="Z42" s="2">
        <f t="shared" si="14"/>
        <v>18000</v>
      </c>
      <c r="AA42" s="2">
        <v>131</v>
      </c>
      <c r="AB42" s="2">
        <v>36</v>
      </c>
      <c r="AC42" s="2">
        <f t="shared" si="10"/>
        <v>2539</v>
      </c>
      <c r="AD42" s="1">
        <v>0</v>
      </c>
      <c r="AF42" s="1">
        <v>0</v>
      </c>
      <c r="AG42" s="1">
        <v>157</v>
      </c>
    </row>
    <row r="43" s="1" customFormat="1" customHeight="1" spans="1:33">
      <c r="A43" s="2"/>
      <c r="C43" s="1">
        <v>38</v>
      </c>
      <c r="D43" s="1">
        <v>38</v>
      </c>
      <c r="E43" s="1">
        <v>1</v>
      </c>
      <c r="F43" s="5" t="s">
        <v>72</v>
      </c>
      <c r="G43" s="1">
        <v>38</v>
      </c>
      <c r="H43" s="1">
        <f t="shared" si="7"/>
        <v>47402000</v>
      </c>
      <c r="I43" s="1">
        <f t="shared" si="0"/>
        <v>11174000</v>
      </c>
      <c r="J43" s="1">
        <f t="shared" si="9"/>
        <v>2048960000</v>
      </c>
      <c r="K43" s="1">
        <f t="shared" si="1"/>
        <v>190</v>
      </c>
      <c r="L43" s="1">
        <f t="shared" si="2"/>
        <v>114</v>
      </c>
      <c r="M43" s="1">
        <f t="shared" si="3"/>
        <v>76</v>
      </c>
      <c r="N43" s="1">
        <f t="shared" si="4"/>
        <v>152</v>
      </c>
      <c r="O43" s="1">
        <v>37</v>
      </c>
      <c r="P43" s="6">
        <v>38</v>
      </c>
      <c r="Q43" s="2">
        <f t="shared" si="13"/>
        <v>130</v>
      </c>
      <c r="R43" s="1">
        <v>0</v>
      </c>
      <c r="S43" s="1">
        <v>0</v>
      </c>
      <c r="T43" s="6">
        <v>0</v>
      </c>
      <c r="U43" s="6">
        <v>0</v>
      </c>
      <c r="V43" s="1">
        <f t="shared" si="5"/>
        <v>470</v>
      </c>
      <c r="W43" s="1">
        <f t="shared" si="6"/>
        <v>470</v>
      </c>
      <c r="X43" s="1">
        <v>47</v>
      </c>
      <c r="Y43" s="1">
        <v>38</v>
      </c>
      <c r="Z43" s="2">
        <f t="shared" si="14"/>
        <v>20000</v>
      </c>
      <c r="AA43" s="2">
        <v>137</v>
      </c>
      <c r="AB43" s="2">
        <v>37</v>
      </c>
      <c r="AC43" s="2">
        <f t="shared" si="10"/>
        <v>2696</v>
      </c>
      <c r="AD43" s="1">
        <v>0</v>
      </c>
      <c r="AF43" s="1">
        <v>0</v>
      </c>
      <c r="AG43" s="1">
        <v>163</v>
      </c>
    </row>
    <row r="44" s="1" customFormat="1" customHeight="1" spans="1:33">
      <c r="A44" s="2"/>
      <c r="C44" s="1">
        <v>39</v>
      </c>
      <c r="D44" s="1">
        <v>39</v>
      </c>
      <c r="E44" s="1">
        <v>1</v>
      </c>
      <c r="F44" s="7" t="s">
        <v>73</v>
      </c>
      <c r="G44" s="1">
        <v>39</v>
      </c>
      <c r="H44" s="1">
        <f t="shared" si="7"/>
        <v>62202500</v>
      </c>
      <c r="I44" s="1">
        <f t="shared" si="0"/>
        <v>14915000</v>
      </c>
      <c r="J44" s="1">
        <f t="shared" si="9"/>
        <v>2787525000</v>
      </c>
      <c r="K44" s="1">
        <f t="shared" si="1"/>
        <v>195</v>
      </c>
      <c r="L44" s="1">
        <f t="shared" si="2"/>
        <v>117</v>
      </c>
      <c r="M44" s="1">
        <f t="shared" si="3"/>
        <v>78</v>
      </c>
      <c r="N44" s="1">
        <f t="shared" si="4"/>
        <v>156</v>
      </c>
      <c r="O44" s="1">
        <v>38</v>
      </c>
      <c r="P44" s="6">
        <v>39</v>
      </c>
      <c r="Q44" s="2">
        <f t="shared" si="13"/>
        <v>135</v>
      </c>
      <c r="R44" s="1">
        <v>0</v>
      </c>
      <c r="S44" s="1">
        <v>0</v>
      </c>
      <c r="T44" s="6">
        <v>0</v>
      </c>
      <c r="U44" s="6">
        <v>0</v>
      </c>
      <c r="V44" s="1">
        <f t="shared" si="5"/>
        <v>480</v>
      </c>
      <c r="W44" s="1">
        <f t="shared" si="6"/>
        <v>480</v>
      </c>
      <c r="X44" s="1">
        <v>48</v>
      </c>
      <c r="Y44" s="1">
        <v>39</v>
      </c>
      <c r="Z44" s="2">
        <f t="shared" ref="Z44:Z77" si="15">Z43+5000</f>
        <v>25000</v>
      </c>
      <c r="AA44" s="2">
        <v>139</v>
      </c>
      <c r="AB44" s="2">
        <v>38</v>
      </c>
      <c r="AC44" s="2">
        <f t="shared" si="10"/>
        <v>2859</v>
      </c>
      <c r="AD44" s="1">
        <v>0</v>
      </c>
      <c r="AF44" s="1">
        <v>0</v>
      </c>
      <c r="AG44" s="1">
        <v>167</v>
      </c>
    </row>
    <row r="45" s="1" customFormat="1" customHeight="1" spans="1:33">
      <c r="A45" s="2"/>
      <c r="C45" s="1">
        <v>40</v>
      </c>
      <c r="D45" s="1">
        <v>40</v>
      </c>
      <c r="E45" s="1">
        <v>1</v>
      </c>
      <c r="F45" s="5" t="s">
        <v>74</v>
      </c>
      <c r="G45" s="1">
        <v>40</v>
      </c>
      <c r="H45" s="1">
        <f t="shared" si="7"/>
        <v>80907000</v>
      </c>
      <c r="I45" s="1">
        <f t="shared" si="0"/>
        <v>19071000</v>
      </c>
      <c r="J45" s="1">
        <f t="shared" si="9"/>
        <v>3631200000</v>
      </c>
      <c r="K45" s="1">
        <f t="shared" si="1"/>
        <v>200</v>
      </c>
      <c r="L45" s="1">
        <f t="shared" si="2"/>
        <v>120</v>
      </c>
      <c r="M45" s="1">
        <f t="shared" si="3"/>
        <v>80</v>
      </c>
      <c r="N45" s="1">
        <f t="shared" si="4"/>
        <v>160</v>
      </c>
      <c r="O45" s="1">
        <v>39</v>
      </c>
      <c r="P45" s="6">
        <v>40</v>
      </c>
      <c r="Q45" s="2">
        <f t="shared" si="13"/>
        <v>140</v>
      </c>
      <c r="R45" s="1">
        <v>0</v>
      </c>
      <c r="S45" s="1">
        <v>0</v>
      </c>
      <c r="T45" s="6">
        <v>0</v>
      </c>
      <c r="U45" s="6">
        <v>0</v>
      </c>
      <c r="V45" s="1">
        <f t="shared" si="5"/>
        <v>490</v>
      </c>
      <c r="W45" s="1">
        <f t="shared" si="6"/>
        <v>490</v>
      </c>
      <c r="X45" s="1">
        <v>49</v>
      </c>
      <c r="Y45" s="1">
        <v>40</v>
      </c>
      <c r="Z45" s="2">
        <f t="shared" si="15"/>
        <v>30000</v>
      </c>
      <c r="AA45" s="1">
        <v>149</v>
      </c>
      <c r="AB45" s="2">
        <v>39</v>
      </c>
      <c r="AC45" s="2">
        <f t="shared" si="10"/>
        <v>3026</v>
      </c>
      <c r="AD45" s="1">
        <v>0</v>
      </c>
      <c r="AF45" s="1">
        <v>0</v>
      </c>
      <c r="AG45" s="1">
        <v>173</v>
      </c>
    </row>
    <row r="46" s="1" customFormat="1" customHeight="1" spans="1:33">
      <c r="A46" s="2"/>
      <c r="C46" s="1">
        <v>41</v>
      </c>
      <c r="D46" s="1">
        <v>41</v>
      </c>
      <c r="E46" s="1">
        <v>1</v>
      </c>
      <c r="F46" s="8" t="s">
        <v>75</v>
      </c>
      <c r="G46" s="1">
        <v>41</v>
      </c>
      <c r="H46" s="1">
        <f t="shared" si="7"/>
        <v>100943500</v>
      </c>
      <c r="I46" s="1">
        <f t="shared" si="0"/>
        <v>22795500</v>
      </c>
      <c r="J46" s="1">
        <f t="shared" si="9"/>
        <v>4478600000</v>
      </c>
      <c r="K46" s="1">
        <f t="shared" si="1"/>
        <v>200</v>
      </c>
      <c r="L46" s="1">
        <f t="shared" si="2"/>
        <v>120</v>
      </c>
      <c r="M46" s="1">
        <f t="shared" si="3"/>
        <v>80</v>
      </c>
      <c r="N46" s="1">
        <f t="shared" si="4"/>
        <v>160</v>
      </c>
      <c r="O46" s="1">
        <v>39</v>
      </c>
      <c r="P46" s="6">
        <v>40</v>
      </c>
      <c r="Q46" s="2">
        <f t="shared" si="13"/>
        <v>145</v>
      </c>
      <c r="R46" s="1">
        <v>0</v>
      </c>
      <c r="S46" s="1">
        <v>0</v>
      </c>
      <c r="T46" s="6">
        <v>0</v>
      </c>
      <c r="U46" s="6">
        <v>0</v>
      </c>
      <c r="V46" s="1">
        <f t="shared" si="5"/>
        <v>490</v>
      </c>
      <c r="W46" s="1">
        <f t="shared" si="6"/>
        <v>490</v>
      </c>
      <c r="X46" s="1">
        <v>49</v>
      </c>
      <c r="Y46" s="1">
        <v>40</v>
      </c>
      <c r="Z46" s="2">
        <f t="shared" si="15"/>
        <v>35000</v>
      </c>
      <c r="AA46" s="1">
        <v>151</v>
      </c>
      <c r="AB46" s="2">
        <v>39</v>
      </c>
      <c r="AC46" s="2">
        <f t="shared" si="10"/>
        <v>3199</v>
      </c>
      <c r="AD46" s="1">
        <v>0</v>
      </c>
      <c r="AF46" s="1">
        <v>0</v>
      </c>
      <c r="AG46" s="2">
        <v>179</v>
      </c>
    </row>
    <row r="47" customHeight="1" spans="1:33">
      <c r="C47" s="1">
        <v>42</v>
      </c>
      <c r="D47" s="1">
        <v>42</v>
      </c>
      <c r="E47" s="1">
        <v>1</v>
      </c>
      <c r="F47" s="7" t="s">
        <v>76</v>
      </c>
      <c r="G47" s="1">
        <v>42</v>
      </c>
      <c r="H47" s="1">
        <f t="shared" si="7"/>
        <v>116572000</v>
      </c>
      <c r="I47" s="1">
        <f t="shared" si="0"/>
        <v>26988000</v>
      </c>
      <c r="J47" s="1">
        <f t="shared" si="9"/>
        <v>5404800000</v>
      </c>
      <c r="K47" s="1">
        <f t="shared" si="1"/>
        <v>200</v>
      </c>
      <c r="L47" s="1">
        <f t="shared" si="2"/>
        <v>120</v>
      </c>
      <c r="M47" s="1">
        <f t="shared" si="3"/>
        <v>80</v>
      </c>
      <c r="N47" s="1">
        <f t="shared" si="4"/>
        <v>160</v>
      </c>
      <c r="O47" s="1">
        <v>39</v>
      </c>
      <c r="P47" s="6">
        <v>40</v>
      </c>
      <c r="Q47" s="2">
        <f t="shared" si="13"/>
        <v>150</v>
      </c>
      <c r="R47" s="1">
        <v>0</v>
      </c>
      <c r="S47" s="1">
        <v>0</v>
      </c>
      <c r="T47" s="6">
        <v>0</v>
      </c>
      <c r="U47" s="6">
        <v>0</v>
      </c>
      <c r="V47" s="1">
        <f t="shared" si="5"/>
        <v>490</v>
      </c>
      <c r="W47" s="1">
        <f t="shared" si="6"/>
        <v>490</v>
      </c>
      <c r="X47" s="1">
        <v>49</v>
      </c>
      <c r="Y47" s="1">
        <v>40</v>
      </c>
      <c r="Z47" s="2">
        <f t="shared" si="15"/>
        <v>40000</v>
      </c>
      <c r="AA47" s="1">
        <v>151</v>
      </c>
      <c r="AB47" s="2">
        <v>39</v>
      </c>
      <c r="AC47" s="2">
        <f t="shared" si="10"/>
        <v>3378</v>
      </c>
      <c r="AD47" s="1">
        <v>0</v>
      </c>
      <c r="AE47" s="1"/>
      <c r="AF47" s="1">
        <v>0</v>
      </c>
      <c r="AG47" s="2">
        <v>181</v>
      </c>
    </row>
    <row r="48" customHeight="1" spans="1:33">
      <c r="C48" s="1">
        <v>43</v>
      </c>
      <c r="D48" s="1">
        <v>43</v>
      </c>
      <c r="E48" s="1">
        <v>1</v>
      </c>
      <c r="F48" s="5" t="s">
        <v>77</v>
      </c>
      <c r="G48" s="1">
        <v>43</v>
      </c>
      <c r="H48" s="1">
        <f t="shared" si="7"/>
        <v>139180500</v>
      </c>
      <c r="I48" s="1">
        <f t="shared" si="0"/>
        <v>31414500</v>
      </c>
      <c r="J48" s="1">
        <f t="shared" si="9"/>
        <v>6406200000</v>
      </c>
      <c r="K48" s="1">
        <f t="shared" si="1"/>
        <v>200</v>
      </c>
      <c r="L48" s="1">
        <f t="shared" si="2"/>
        <v>120</v>
      </c>
      <c r="M48" s="1">
        <f t="shared" si="3"/>
        <v>80</v>
      </c>
      <c r="N48" s="1">
        <f t="shared" si="4"/>
        <v>160</v>
      </c>
      <c r="O48" s="1">
        <v>39</v>
      </c>
      <c r="P48" s="6">
        <v>40</v>
      </c>
      <c r="Q48" s="2">
        <f t="shared" si="13"/>
        <v>155</v>
      </c>
      <c r="R48" s="1">
        <v>0</v>
      </c>
      <c r="S48" s="1">
        <v>0</v>
      </c>
      <c r="T48" s="6">
        <v>0</v>
      </c>
      <c r="U48" s="6">
        <v>0</v>
      </c>
      <c r="V48" s="1">
        <f t="shared" si="5"/>
        <v>490</v>
      </c>
      <c r="W48" s="1">
        <f t="shared" si="6"/>
        <v>490</v>
      </c>
      <c r="X48" s="1">
        <v>49</v>
      </c>
      <c r="Y48" s="1">
        <v>40</v>
      </c>
      <c r="Z48" s="2">
        <f t="shared" si="15"/>
        <v>45000</v>
      </c>
      <c r="AA48" s="1">
        <v>157</v>
      </c>
      <c r="AB48" s="2">
        <v>39</v>
      </c>
      <c r="AC48" s="2">
        <f t="shared" si="10"/>
        <v>3559</v>
      </c>
      <c r="AD48" s="1">
        <v>0</v>
      </c>
      <c r="AE48" s="1"/>
      <c r="AF48" s="1">
        <v>0</v>
      </c>
      <c r="AG48" s="2">
        <v>191</v>
      </c>
    </row>
    <row r="49" customHeight="1" spans="3:33">
      <c r="C49" s="1">
        <v>44</v>
      </c>
      <c r="D49" s="1">
        <v>44</v>
      </c>
      <c r="E49" s="1">
        <v>1</v>
      </c>
      <c r="F49" s="5" t="s">
        <v>78</v>
      </c>
      <c r="G49" s="1">
        <v>44</v>
      </c>
      <c r="H49" s="1">
        <f t="shared" si="7"/>
        <v>172135000</v>
      </c>
      <c r="I49" s="1">
        <f t="shared" si="0"/>
        <v>35295000</v>
      </c>
      <c r="J49" s="1">
        <f t="shared" si="9"/>
        <v>7500000000</v>
      </c>
      <c r="K49" s="1">
        <f t="shared" si="1"/>
        <v>200</v>
      </c>
      <c r="L49" s="1">
        <f t="shared" si="2"/>
        <v>120</v>
      </c>
      <c r="M49" s="1">
        <f t="shared" si="3"/>
        <v>80</v>
      </c>
      <c r="N49" s="1">
        <f t="shared" si="4"/>
        <v>160</v>
      </c>
      <c r="O49" s="1">
        <v>39</v>
      </c>
      <c r="P49" s="6">
        <v>40</v>
      </c>
      <c r="Q49" s="2">
        <f t="shared" si="13"/>
        <v>160</v>
      </c>
      <c r="R49" s="1">
        <v>0</v>
      </c>
      <c r="S49" s="1">
        <v>0</v>
      </c>
      <c r="T49" s="6">
        <v>0</v>
      </c>
      <c r="U49" s="6">
        <v>0</v>
      </c>
      <c r="V49" s="1">
        <f t="shared" si="5"/>
        <v>490</v>
      </c>
      <c r="W49" s="1">
        <f t="shared" si="6"/>
        <v>490</v>
      </c>
      <c r="X49" s="1">
        <v>49</v>
      </c>
      <c r="Y49" s="1">
        <v>40</v>
      </c>
      <c r="Z49" s="2">
        <f t="shared" si="15"/>
        <v>50000</v>
      </c>
      <c r="AA49" s="1">
        <v>173</v>
      </c>
      <c r="AB49" s="2">
        <v>39</v>
      </c>
      <c r="AC49" s="2">
        <f t="shared" si="10"/>
        <v>3750</v>
      </c>
      <c r="AD49" s="1">
        <v>0</v>
      </c>
      <c r="AE49" s="1"/>
      <c r="AF49" s="1">
        <v>0</v>
      </c>
      <c r="AG49" s="2">
        <v>193</v>
      </c>
    </row>
    <row r="50" customHeight="1" spans="3:33">
      <c r="C50" s="1">
        <v>45</v>
      </c>
      <c r="D50" s="1">
        <v>45</v>
      </c>
      <c r="E50" s="1">
        <v>1</v>
      </c>
      <c r="F50" s="5" t="s">
        <v>79</v>
      </c>
      <c r="G50" s="1">
        <v>45</v>
      </c>
      <c r="H50" s="1">
        <f t="shared" si="7"/>
        <v>200766500</v>
      </c>
      <c r="I50" s="1">
        <f t="shared" si="0"/>
        <v>40969500</v>
      </c>
      <c r="J50" s="1">
        <f t="shared" si="9"/>
        <v>8674600000</v>
      </c>
      <c r="K50" s="1">
        <f t="shared" si="1"/>
        <v>200</v>
      </c>
      <c r="L50" s="1">
        <f t="shared" si="2"/>
        <v>120</v>
      </c>
      <c r="M50" s="1">
        <f t="shared" si="3"/>
        <v>80</v>
      </c>
      <c r="N50" s="1">
        <f t="shared" si="4"/>
        <v>160</v>
      </c>
      <c r="O50" s="1">
        <v>39</v>
      </c>
      <c r="P50" s="6">
        <v>40</v>
      </c>
      <c r="Q50" s="2">
        <f t="shared" si="13"/>
        <v>165</v>
      </c>
      <c r="R50" s="1">
        <v>0</v>
      </c>
      <c r="S50" s="1">
        <v>0</v>
      </c>
      <c r="T50" s="6">
        <v>0</v>
      </c>
      <c r="U50" s="6">
        <v>0</v>
      </c>
      <c r="V50" s="1">
        <f t="shared" si="5"/>
        <v>490</v>
      </c>
      <c r="W50" s="1">
        <f t="shared" si="6"/>
        <v>490</v>
      </c>
      <c r="X50" s="1">
        <v>49</v>
      </c>
      <c r="Y50" s="1">
        <v>40</v>
      </c>
      <c r="Z50" s="2">
        <f t="shared" si="15"/>
        <v>55000</v>
      </c>
      <c r="AA50" s="1">
        <v>173</v>
      </c>
      <c r="AB50" s="2">
        <v>39</v>
      </c>
      <c r="AC50" s="2">
        <f t="shared" si="10"/>
        <v>3943</v>
      </c>
      <c r="AD50" s="1">
        <v>0</v>
      </c>
      <c r="AE50" s="1"/>
      <c r="AF50" s="1">
        <v>0</v>
      </c>
      <c r="AG50" s="2">
        <v>197</v>
      </c>
    </row>
    <row r="51" customHeight="1" spans="3:33">
      <c r="C51" s="1">
        <v>46</v>
      </c>
      <c r="D51" s="1">
        <v>46</v>
      </c>
      <c r="E51" s="1">
        <v>1</v>
      </c>
      <c r="F51" s="8" t="s">
        <v>80</v>
      </c>
      <c r="G51" s="1">
        <v>46</v>
      </c>
      <c r="H51" s="1">
        <f t="shared" si="7"/>
        <v>231474000</v>
      </c>
      <c r="I51" s="1">
        <f t="shared" si="0"/>
        <v>45162000</v>
      </c>
      <c r="J51" s="1">
        <f t="shared" si="9"/>
        <v>9936000000</v>
      </c>
      <c r="K51" s="1">
        <f t="shared" si="1"/>
        <v>200</v>
      </c>
      <c r="L51" s="1">
        <f t="shared" si="2"/>
        <v>120</v>
      </c>
      <c r="M51" s="1">
        <f t="shared" si="3"/>
        <v>80</v>
      </c>
      <c r="N51" s="1">
        <f t="shared" si="4"/>
        <v>160</v>
      </c>
      <c r="O51" s="1">
        <v>39</v>
      </c>
      <c r="P51" s="6">
        <v>40</v>
      </c>
      <c r="Q51" s="2">
        <f t="shared" si="13"/>
        <v>170</v>
      </c>
      <c r="R51" s="1">
        <v>0</v>
      </c>
      <c r="S51" s="1">
        <v>0</v>
      </c>
      <c r="T51" s="6">
        <v>0</v>
      </c>
      <c r="U51" s="6">
        <v>0</v>
      </c>
      <c r="V51" s="1">
        <f t="shared" si="5"/>
        <v>490</v>
      </c>
      <c r="W51" s="1">
        <f t="shared" si="6"/>
        <v>490</v>
      </c>
      <c r="X51" s="1">
        <v>49</v>
      </c>
      <c r="Y51" s="1">
        <v>40</v>
      </c>
      <c r="Z51" s="2">
        <f t="shared" si="15"/>
        <v>60000</v>
      </c>
      <c r="AA51" s="1">
        <v>173</v>
      </c>
      <c r="AB51" s="2">
        <v>39</v>
      </c>
      <c r="AC51" s="2">
        <f t="shared" si="10"/>
        <v>4140</v>
      </c>
      <c r="AD51" s="1">
        <v>0</v>
      </c>
      <c r="AE51" s="1"/>
      <c r="AF51" s="1">
        <v>0</v>
      </c>
      <c r="AG51" s="2">
        <v>199</v>
      </c>
    </row>
    <row r="52" customHeight="1" spans="3:33">
      <c r="C52" s="1">
        <v>47</v>
      </c>
      <c r="D52" s="1">
        <v>47</v>
      </c>
      <c r="E52" s="1">
        <v>1</v>
      </c>
      <c r="F52" s="5" t="s">
        <v>81</v>
      </c>
      <c r="G52" s="1">
        <v>47</v>
      </c>
      <c r="H52" s="1">
        <f t="shared" si="7"/>
        <v>255261500</v>
      </c>
      <c r="I52" s="1">
        <f t="shared" si="0"/>
        <v>49939500</v>
      </c>
      <c r="J52" s="1">
        <f t="shared" si="9"/>
        <v>11281400000</v>
      </c>
      <c r="K52" s="1">
        <f t="shared" si="1"/>
        <v>200</v>
      </c>
      <c r="L52" s="1">
        <f t="shared" si="2"/>
        <v>120</v>
      </c>
      <c r="M52" s="1">
        <f t="shared" si="3"/>
        <v>80</v>
      </c>
      <c r="N52" s="1">
        <f t="shared" si="4"/>
        <v>160</v>
      </c>
      <c r="O52" s="1">
        <v>39</v>
      </c>
      <c r="P52" s="6">
        <v>40</v>
      </c>
      <c r="Q52" s="2">
        <f t="shared" si="13"/>
        <v>175</v>
      </c>
      <c r="R52" s="1">
        <v>0</v>
      </c>
      <c r="S52" s="1">
        <v>0</v>
      </c>
      <c r="T52" s="6">
        <v>0</v>
      </c>
      <c r="U52" s="6">
        <v>0</v>
      </c>
      <c r="V52" s="1">
        <f t="shared" si="5"/>
        <v>490</v>
      </c>
      <c r="W52" s="1">
        <f t="shared" si="6"/>
        <v>490</v>
      </c>
      <c r="X52" s="1">
        <v>49</v>
      </c>
      <c r="Y52" s="1">
        <v>40</v>
      </c>
      <c r="Z52" s="2">
        <f t="shared" si="15"/>
        <v>65000</v>
      </c>
      <c r="AA52" s="1">
        <v>173</v>
      </c>
      <c r="AB52" s="2">
        <v>39</v>
      </c>
      <c r="AC52" s="2">
        <f t="shared" si="10"/>
        <v>4339</v>
      </c>
      <c r="AD52" s="1">
        <v>0</v>
      </c>
      <c r="AE52" s="1"/>
      <c r="AF52" s="1">
        <v>0</v>
      </c>
      <c r="AG52" s="2">
        <v>211</v>
      </c>
    </row>
    <row r="53" customHeight="1" spans="3:33">
      <c r="C53" s="1">
        <v>48</v>
      </c>
      <c r="D53" s="1">
        <v>48</v>
      </c>
      <c r="E53" s="1">
        <v>1</v>
      </c>
      <c r="F53" s="3" t="s">
        <v>82</v>
      </c>
      <c r="G53" s="1">
        <v>48</v>
      </c>
      <c r="H53" s="1">
        <f t="shared" si="7"/>
        <v>277319000</v>
      </c>
      <c r="I53" s="1">
        <f t="shared" si="0"/>
        <v>54327000</v>
      </c>
      <c r="J53" s="1">
        <f t="shared" si="9"/>
        <v>12740000000</v>
      </c>
      <c r="K53" s="1">
        <f t="shared" si="1"/>
        <v>200</v>
      </c>
      <c r="L53" s="1">
        <f t="shared" si="2"/>
        <v>120</v>
      </c>
      <c r="M53" s="1">
        <f t="shared" si="3"/>
        <v>80</v>
      </c>
      <c r="N53" s="1">
        <f t="shared" si="4"/>
        <v>160</v>
      </c>
      <c r="O53" s="1">
        <v>39</v>
      </c>
      <c r="P53" s="6">
        <v>40</v>
      </c>
      <c r="Q53" s="2">
        <f t="shared" si="13"/>
        <v>180</v>
      </c>
      <c r="R53" s="1">
        <v>0</v>
      </c>
      <c r="S53" s="1">
        <v>0</v>
      </c>
      <c r="T53" s="6">
        <v>0</v>
      </c>
      <c r="U53" s="6">
        <v>0</v>
      </c>
      <c r="V53" s="1">
        <f t="shared" si="5"/>
        <v>490</v>
      </c>
      <c r="W53" s="1">
        <f t="shared" si="6"/>
        <v>490</v>
      </c>
      <c r="X53" s="1">
        <v>49</v>
      </c>
      <c r="Y53" s="1">
        <v>40</v>
      </c>
      <c r="Z53" s="2">
        <f t="shared" si="15"/>
        <v>70000</v>
      </c>
      <c r="AA53" s="1">
        <v>173</v>
      </c>
      <c r="AB53" s="2">
        <v>39</v>
      </c>
      <c r="AC53" s="2">
        <f t="shared" si="10"/>
        <v>4550</v>
      </c>
      <c r="AD53" s="1">
        <v>0</v>
      </c>
      <c r="AE53" s="1"/>
      <c r="AF53" s="1">
        <v>0</v>
      </c>
      <c r="AG53" s="2">
        <v>223</v>
      </c>
    </row>
    <row r="54" customHeight="1" spans="3:33">
      <c r="C54" s="1">
        <v>49</v>
      </c>
      <c r="D54" s="1">
        <v>49</v>
      </c>
      <c r="E54" s="1">
        <v>1</v>
      </c>
      <c r="F54" s="5" t="s">
        <v>83</v>
      </c>
      <c r="G54" s="1">
        <v>49</v>
      </c>
      <c r="H54" s="1">
        <f t="shared" si="7"/>
        <v>302317500</v>
      </c>
      <c r="I54" s="1">
        <f t="shared" si="0"/>
        <v>61717500</v>
      </c>
      <c r="J54" s="1">
        <f t="shared" si="9"/>
        <v>14319000000</v>
      </c>
      <c r="K54" s="1">
        <f t="shared" si="1"/>
        <v>200</v>
      </c>
      <c r="L54" s="1">
        <f t="shared" si="2"/>
        <v>120</v>
      </c>
      <c r="M54" s="1">
        <f t="shared" si="3"/>
        <v>80</v>
      </c>
      <c r="N54" s="1">
        <f t="shared" si="4"/>
        <v>160</v>
      </c>
      <c r="O54" s="1">
        <v>39</v>
      </c>
      <c r="P54" s="6">
        <v>40</v>
      </c>
      <c r="Q54" s="2">
        <f t="shared" si="13"/>
        <v>185</v>
      </c>
      <c r="R54" s="1">
        <v>0</v>
      </c>
      <c r="S54" s="1">
        <v>0</v>
      </c>
      <c r="T54" s="6">
        <v>0</v>
      </c>
      <c r="U54" s="6">
        <v>0</v>
      </c>
      <c r="V54" s="1">
        <f t="shared" si="5"/>
        <v>490</v>
      </c>
      <c r="W54" s="1">
        <f t="shared" si="6"/>
        <v>490</v>
      </c>
      <c r="X54" s="1">
        <v>49</v>
      </c>
      <c r="Y54" s="1">
        <v>40</v>
      </c>
      <c r="Z54" s="2">
        <f t="shared" si="15"/>
        <v>75000</v>
      </c>
      <c r="AA54" s="1">
        <v>173</v>
      </c>
      <c r="AB54" s="2">
        <v>39</v>
      </c>
      <c r="AC54" s="2">
        <f t="shared" si="10"/>
        <v>4773</v>
      </c>
      <c r="AD54" s="1">
        <v>0</v>
      </c>
      <c r="AE54" s="1"/>
      <c r="AF54" s="1">
        <v>0</v>
      </c>
      <c r="AG54" s="2">
        <v>227</v>
      </c>
    </row>
    <row r="55" customHeight="1" spans="3:33">
      <c r="C55" s="1">
        <v>50</v>
      </c>
      <c r="D55" s="1">
        <v>50</v>
      </c>
      <c r="E55" s="1">
        <v>1</v>
      </c>
      <c r="F55" s="5" t="s">
        <v>84</v>
      </c>
      <c r="G55" s="1">
        <v>50</v>
      </c>
      <c r="H55" s="1">
        <f t="shared" si="7"/>
        <v>330776000</v>
      </c>
      <c r="I55" s="1">
        <f t="shared" si="0"/>
        <v>69576000</v>
      </c>
      <c r="J55" s="1">
        <f t="shared" si="9"/>
        <v>16000000000</v>
      </c>
      <c r="K55" s="1">
        <f t="shared" si="1"/>
        <v>200</v>
      </c>
      <c r="L55" s="1">
        <f t="shared" si="2"/>
        <v>120</v>
      </c>
      <c r="M55" s="1">
        <f t="shared" si="3"/>
        <v>80</v>
      </c>
      <c r="N55" s="1">
        <f t="shared" si="4"/>
        <v>160</v>
      </c>
      <c r="O55" s="1">
        <v>39</v>
      </c>
      <c r="P55" s="6">
        <v>40</v>
      </c>
      <c r="Q55" s="2">
        <f t="shared" si="13"/>
        <v>190</v>
      </c>
      <c r="R55" s="1">
        <v>0</v>
      </c>
      <c r="S55" s="1">
        <v>0</v>
      </c>
      <c r="T55" s="6">
        <v>0</v>
      </c>
      <c r="U55" s="6">
        <v>0</v>
      </c>
      <c r="V55" s="1">
        <f t="shared" si="5"/>
        <v>490</v>
      </c>
      <c r="W55" s="1">
        <f t="shared" si="6"/>
        <v>490</v>
      </c>
      <c r="X55" s="1">
        <v>49</v>
      </c>
      <c r="Y55" s="1">
        <v>40</v>
      </c>
      <c r="Z55" s="2">
        <f t="shared" si="15"/>
        <v>80000</v>
      </c>
      <c r="AA55" s="1">
        <v>173</v>
      </c>
      <c r="AB55" s="2">
        <v>39</v>
      </c>
      <c r="AC55" s="2">
        <f t="shared" si="10"/>
        <v>5000</v>
      </c>
      <c r="AD55" s="1">
        <v>0</v>
      </c>
      <c r="AE55" s="1"/>
      <c r="AF55" s="1">
        <v>0</v>
      </c>
      <c r="AG55" s="2">
        <v>229</v>
      </c>
    </row>
    <row r="56" customHeight="1" spans="3:33">
      <c r="C56" s="1">
        <v>51</v>
      </c>
      <c r="D56" s="1">
        <v>51</v>
      </c>
      <c r="E56" s="1">
        <v>1</v>
      </c>
      <c r="F56" s="5" t="s">
        <v>85</v>
      </c>
      <c r="G56" s="1">
        <v>51</v>
      </c>
      <c r="H56" s="1">
        <f t="shared" si="7"/>
        <v>354390500</v>
      </c>
      <c r="I56" s="1">
        <f t="shared" si="0"/>
        <v>75250500</v>
      </c>
      <c r="J56" s="1">
        <f t="shared" si="9"/>
        <v>17778600000</v>
      </c>
      <c r="K56" s="1">
        <f t="shared" si="1"/>
        <v>200</v>
      </c>
      <c r="L56" s="1">
        <f t="shared" si="2"/>
        <v>120</v>
      </c>
      <c r="M56" s="1">
        <f t="shared" si="3"/>
        <v>80</v>
      </c>
      <c r="N56" s="1">
        <f t="shared" si="4"/>
        <v>160</v>
      </c>
      <c r="O56" s="1">
        <v>39</v>
      </c>
      <c r="P56" s="6">
        <v>40</v>
      </c>
      <c r="Q56" s="2">
        <f t="shared" si="13"/>
        <v>195</v>
      </c>
      <c r="R56" s="1">
        <v>0</v>
      </c>
      <c r="S56" s="1">
        <v>0</v>
      </c>
      <c r="T56" s="6">
        <v>0</v>
      </c>
      <c r="U56" s="6">
        <v>0</v>
      </c>
      <c r="V56" s="1">
        <f t="shared" si="5"/>
        <v>490</v>
      </c>
      <c r="W56" s="1">
        <f t="shared" si="6"/>
        <v>490</v>
      </c>
      <c r="X56" s="1">
        <v>49</v>
      </c>
      <c r="Y56" s="1">
        <v>40</v>
      </c>
      <c r="Z56" s="2">
        <f t="shared" si="15"/>
        <v>85000</v>
      </c>
      <c r="AA56" s="1">
        <v>173</v>
      </c>
      <c r="AB56" s="2">
        <v>39</v>
      </c>
      <c r="AC56" s="2">
        <f t="shared" si="10"/>
        <v>5229</v>
      </c>
      <c r="AD56" s="1">
        <v>0</v>
      </c>
      <c r="AE56" s="1"/>
      <c r="AF56" s="1">
        <v>0</v>
      </c>
      <c r="AG56" s="2">
        <v>233</v>
      </c>
    </row>
    <row r="57" customHeight="1" spans="3:33">
      <c r="C57" s="1">
        <v>52</v>
      </c>
      <c r="D57" s="1">
        <v>52</v>
      </c>
      <c r="E57" s="1">
        <v>1</v>
      </c>
      <c r="F57" s="5" t="s">
        <v>86</v>
      </c>
      <c r="G57" s="1">
        <v>52</v>
      </c>
      <c r="H57" s="1">
        <f t="shared" si="7"/>
        <v>390807000</v>
      </c>
      <c r="I57" s="1">
        <f t="shared" si="0"/>
        <v>80379000</v>
      </c>
      <c r="J57" s="1">
        <f t="shared" si="9"/>
        <v>19663200000</v>
      </c>
      <c r="K57" s="1">
        <f t="shared" si="1"/>
        <v>200</v>
      </c>
      <c r="L57" s="1">
        <f t="shared" si="2"/>
        <v>120</v>
      </c>
      <c r="M57" s="1">
        <f t="shared" si="3"/>
        <v>80</v>
      </c>
      <c r="N57" s="1">
        <f t="shared" si="4"/>
        <v>160</v>
      </c>
      <c r="O57" s="1">
        <v>39</v>
      </c>
      <c r="P57" s="6">
        <v>40</v>
      </c>
      <c r="Q57" s="2">
        <f t="shared" si="13"/>
        <v>200</v>
      </c>
      <c r="R57" s="1">
        <v>0</v>
      </c>
      <c r="S57" s="1">
        <v>0</v>
      </c>
      <c r="T57" s="6">
        <v>0</v>
      </c>
      <c r="U57" s="6">
        <v>0</v>
      </c>
      <c r="V57" s="1">
        <f t="shared" si="5"/>
        <v>490</v>
      </c>
      <c r="W57" s="1">
        <f t="shared" si="6"/>
        <v>490</v>
      </c>
      <c r="X57" s="1">
        <v>49</v>
      </c>
      <c r="Y57" s="1">
        <v>40</v>
      </c>
      <c r="Z57" s="2">
        <f t="shared" si="15"/>
        <v>90000</v>
      </c>
      <c r="AA57" s="1">
        <v>173</v>
      </c>
      <c r="AB57" s="2">
        <v>39</v>
      </c>
      <c r="AC57" s="2">
        <f t="shared" si="10"/>
        <v>5462</v>
      </c>
      <c r="AD57" s="1">
        <v>0</v>
      </c>
      <c r="AE57" s="1"/>
      <c r="AF57" s="1">
        <v>0</v>
      </c>
      <c r="AG57" s="2">
        <v>239</v>
      </c>
    </row>
    <row r="58" customHeight="1" spans="3:33">
      <c r="C58" s="1">
        <v>53</v>
      </c>
      <c r="D58" s="1">
        <v>53</v>
      </c>
      <c r="E58" s="1">
        <v>1</v>
      </c>
      <c r="F58" s="5" t="s">
        <v>87</v>
      </c>
      <c r="G58" s="1">
        <v>53</v>
      </c>
      <c r="H58" s="1">
        <f t="shared" si="7"/>
        <v>422379500</v>
      </c>
      <c r="I58" s="1">
        <f t="shared" si="0"/>
        <v>86326500</v>
      </c>
      <c r="J58" s="1">
        <f t="shared" si="9"/>
        <v>21663800000</v>
      </c>
      <c r="K58" s="1">
        <f t="shared" si="1"/>
        <v>200</v>
      </c>
      <c r="L58" s="1">
        <f t="shared" si="2"/>
        <v>120</v>
      </c>
      <c r="M58" s="1">
        <f t="shared" si="3"/>
        <v>80</v>
      </c>
      <c r="N58" s="1">
        <f t="shared" si="4"/>
        <v>160</v>
      </c>
      <c r="O58" s="1">
        <v>39</v>
      </c>
      <c r="P58" s="6">
        <v>40</v>
      </c>
      <c r="Q58" s="2">
        <f t="shared" si="13"/>
        <v>205</v>
      </c>
      <c r="R58" s="1">
        <v>0</v>
      </c>
      <c r="S58" s="1">
        <v>0</v>
      </c>
      <c r="T58" s="6">
        <v>0</v>
      </c>
      <c r="U58" s="6">
        <v>0</v>
      </c>
      <c r="V58" s="1">
        <f t="shared" si="5"/>
        <v>490</v>
      </c>
      <c r="W58" s="1">
        <f t="shared" si="6"/>
        <v>490</v>
      </c>
      <c r="X58" s="1">
        <v>49</v>
      </c>
      <c r="Y58" s="1">
        <v>40</v>
      </c>
      <c r="Z58" s="2">
        <f t="shared" si="15"/>
        <v>95000</v>
      </c>
      <c r="AA58" s="1">
        <v>173</v>
      </c>
      <c r="AB58" s="2">
        <v>39</v>
      </c>
      <c r="AC58" s="2">
        <f t="shared" si="10"/>
        <v>5701</v>
      </c>
      <c r="AD58" s="1">
        <v>0</v>
      </c>
      <c r="AE58" s="1"/>
      <c r="AF58" s="1">
        <v>0</v>
      </c>
      <c r="AG58" s="2">
        <v>241</v>
      </c>
    </row>
    <row r="59" customHeight="1" spans="3:33">
      <c r="C59" s="1">
        <v>54</v>
      </c>
      <c r="D59" s="1">
        <v>54</v>
      </c>
      <c r="E59" s="1">
        <v>1</v>
      </c>
      <c r="F59" s="3" t="s">
        <v>88</v>
      </c>
      <c r="G59" s="1">
        <v>54</v>
      </c>
      <c r="H59" s="1">
        <f t="shared" si="7"/>
        <v>454990000</v>
      </c>
      <c r="I59" s="1">
        <f t="shared" si="0"/>
        <v>93210000</v>
      </c>
      <c r="J59" s="1">
        <f t="shared" si="9"/>
        <v>23768000000</v>
      </c>
      <c r="K59" s="1">
        <f t="shared" si="1"/>
        <v>200</v>
      </c>
      <c r="L59" s="1">
        <f t="shared" si="2"/>
        <v>120</v>
      </c>
      <c r="M59" s="1">
        <f t="shared" si="3"/>
        <v>80</v>
      </c>
      <c r="N59" s="1">
        <f t="shared" si="4"/>
        <v>160</v>
      </c>
      <c r="O59" s="1">
        <v>39</v>
      </c>
      <c r="P59" s="6">
        <v>40</v>
      </c>
      <c r="Q59" s="2">
        <f t="shared" si="13"/>
        <v>210</v>
      </c>
      <c r="R59" s="1">
        <v>0</v>
      </c>
      <c r="S59" s="1">
        <v>0</v>
      </c>
      <c r="T59" s="6">
        <v>0</v>
      </c>
      <c r="U59" s="6">
        <v>0</v>
      </c>
      <c r="V59" s="1">
        <f t="shared" si="5"/>
        <v>490</v>
      </c>
      <c r="W59" s="1">
        <f t="shared" si="6"/>
        <v>490</v>
      </c>
      <c r="X59" s="1">
        <v>49</v>
      </c>
      <c r="Y59" s="1">
        <v>40</v>
      </c>
      <c r="Z59" s="2">
        <f t="shared" si="15"/>
        <v>100000</v>
      </c>
      <c r="AA59" s="1">
        <v>173</v>
      </c>
      <c r="AB59" s="2">
        <v>39</v>
      </c>
      <c r="AC59" s="2">
        <f t="shared" si="10"/>
        <v>5942</v>
      </c>
      <c r="AD59" s="1">
        <v>0</v>
      </c>
      <c r="AE59" s="1"/>
      <c r="AF59" s="1">
        <v>0</v>
      </c>
      <c r="AG59" s="2">
        <v>251</v>
      </c>
    </row>
    <row r="60" customHeight="1" spans="3:33">
      <c r="C60" s="1">
        <v>55</v>
      </c>
      <c r="D60" s="1">
        <v>55</v>
      </c>
      <c r="E60" s="1">
        <v>1</v>
      </c>
      <c r="F60" s="5" t="s">
        <v>89</v>
      </c>
      <c r="G60" s="1">
        <v>55</v>
      </c>
      <c r="H60" s="1">
        <f t="shared" si="7"/>
        <v>488638500</v>
      </c>
      <c r="I60" s="1">
        <f t="shared" si="0"/>
        <v>98689500</v>
      </c>
      <c r="J60" s="1">
        <f t="shared" si="9"/>
        <v>26010600000</v>
      </c>
      <c r="K60" s="1">
        <f t="shared" si="1"/>
        <v>200</v>
      </c>
      <c r="L60" s="1">
        <f t="shared" si="2"/>
        <v>120</v>
      </c>
      <c r="M60" s="1">
        <f t="shared" si="3"/>
        <v>80</v>
      </c>
      <c r="N60" s="1">
        <f t="shared" si="4"/>
        <v>160</v>
      </c>
      <c r="O60" s="1">
        <v>39</v>
      </c>
      <c r="P60" s="6">
        <v>40</v>
      </c>
      <c r="Q60" s="2">
        <f t="shared" si="13"/>
        <v>215</v>
      </c>
      <c r="R60" s="1">
        <v>0</v>
      </c>
      <c r="S60" s="1">
        <v>0</v>
      </c>
      <c r="T60" s="6">
        <v>0</v>
      </c>
      <c r="U60" s="6">
        <v>0</v>
      </c>
      <c r="V60" s="1">
        <f t="shared" si="5"/>
        <v>490</v>
      </c>
      <c r="W60" s="1">
        <f t="shared" si="6"/>
        <v>490</v>
      </c>
      <c r="X60" s="1">
        <v>49</v>
      </c>
      <c r="Y60" s="1">
        <v>40</v>
      </c>
      <c r="Z60" s="2">
        <f t="shared" si="15"/>
        <v>105000</v>
      </c>
      <c r="AA60" s="1">
        <v>173</v>
      </c>
      <c r="AB60" s="2">
        <v>39</v>
      </c>
      <c r="AC60" s="2">
        <f t="shared" si="10"/>
        <v>6193</v>
      </c>
      <c r="AD60" s="1">
        <v>0</v>
      </c>
      <c r="AE60" s="1"/>
      <c r="AF60" s="1">
        <v>0</v>
      </c>
      <c r="AG60" s="2">
        <v>257</v>
      </c>
    </row>
    <row r="61" customHeight="1" spans="3:33">
      <c r="C61" s="1">
        <v>56</v>
      </c>
      <c r="D61" s="1">
        <v>56</v>
      </c>
      <c r="E61" s="1">
        <v>1</v>
      </c>
      <c r="F61" s="5" t="s">
        <v>90</v>
      </c>
      <c r="G61" s="1">
        <v>56</v>
      </c>
      <c r="H61" s="1">
        <f t="shared" si="7"/>
        <v>515713000</v>
      </c>
      <c r="I61" s="1">
        <f t="shared" si="0"/>
        <v>107679000</v>
      </c>
      <c r="J61" s="1">
        <f t="shared" si="9"/>
        <v>28380000000</v>
      </c>
      <c r="K61" s="1">
        <f t="shared" si="1"/>
        <v>200</v>
      </c>
      <c r="L61" s="1">
        <f t="shared" si="2"/>
        <v>120</v>
      </c>
      <c r="M61" s="1">
        <f t="shared" si="3"/>
        <v>80</v>
      </c>
      <c r="N61" s="1">
        <f t="shared" si="4"/>
        <v>160</v>
      </c>
      <c r="O61" s="1">
        <v>39</v>
      </c>
      <c r="P61" s="6">
        <v>40</v>
      </c>
      <c r="Q61" s="2">
        <f t="shared" si="13"/>
        <v>220</v>
      </c>
      <c r="R61" s="1">
        <v>0</v>
      </c>
      <c r="S61" s="1">
        <v>0</v>
      </c>
      <c r="T61" s="6">
        <v>0</v>
      </c>
      <c r="U61" s="6">
        <v>0</v>
      </c>
      <c r="V61" s="1">
        <f t="shared" si="5"/>
        <v>490</v>
      </c>
      <c r="W61" s="1">
        <f t="shared" si="6"/>
        <v>490</v>
      </c>
      <c r="X61" s="1">
        <v>49</v>
      </c>
      <c r="Y61" s="1">
        <v>40</v>
      </c>
      <c r="Z61" s="2">
        <f t="shared" si="15"/>
        <v>110000</v>
      </c>
      <c r="AA61" s="1">
        <v>173</v>
      </c>
      <c r="AB61" s="2">
        <v>39</v>
      </c>
      <c r="AC61" s="2">
        <f t="shared" si="10"/>
        <v>6450</v>
      </c>
      <c r="AD61" s="1">
        <v>0</v>
      </c>
      <c r="AE61" s="1"/>
      <c r="AF61" s="1">
        <v>0</v>
      </c>
      <c r="AG61" s="2">
        <v>263</v>
      </c>
    </row>
    <row r="62" customHeight="1" spans="3:33">
      <c r="C62" s="1">
        <v>57</v>
      </c>
      <c r="D62" s="1">
        <v>57</v>
      </c>
      <c r="E62" s="1">
        <v>1</v>
      </c>
      <c r="F62" s="5" t="s">
        <v>91</v>
      </c>
      <c r="G62" s="1">
        <v>57</v>
      </c>
      <c r="H62" s="1">
        <f t="shared" si="7"/>
        <v>551091500</v>
      </c>
      <c r="I62" s="1">
        <f t="shared" si="0"/>
        <v>115264500</v>
      </c>
      <c r="J62" s="1">
        <f t="shared" si="9"/>
        <v>30879800000</v>
      </c>
      <c r="K62" s="1">
        <f t="shared" si="1"/>
        <v>200</v>
      </c>
      <c r="L62" s="1">
        <f t="shared" si="2"/>
        <v>120</v>
      </c>
      <c r="M62" s="1">
        <f t="shared" si="3"/>
        <v>80</v>
      </c>
      <c r="N62" s="1">
        <f t="shared" si="4"/>
        <v>160</v>
      </c>
      <c r="O62" s="1">
        <v>39</v>
      </c>
      <c r="P62" s="6">
        <v>40</v>
      </c>
      <c r="Q62" s="2">
        <f t="shared" si="13"/>
        <v>225</v>
      </c>
      <c r="R62" s="1">
        <v>0</v>
      </c>
      <c r="S62" s="1">
        <v>0</v>
      </c>
      <c r="T62" s="6">
        <v>0</v>
      </c>
      <c r="U62" s="6">
        <v>0</v>
      </c>
      <c r="V62" s="1">
        <f t="shared" si="5"/>
        <v>490</v>
      </c>
      <c r="W62" s="1">
        <f t="shared" si="6"/>
        <v>490</v>
      </c>
      <c r="X62" s="1">
        <v>49</v>
      </c>
      <c r="Y62" s="1">
        <v>40</v>
      </c>
      <c r="Z62" s="2">
        <f t="shared" si="15"/>
        <v>115000</v>
      </c>
      <c r="AA62" s="1">
        <v>173</v>
      </c>
      <c r="AB62" s="2">
        <v>39</v>
      </c>
      <c r="AC62" s="2">
        <f t="shared" si="10"/>
        <v>6713</v>
      </c>
      <c r="AD62" s="1">
        <v>0</v>
      </c>
      <c r="AE62" s="1"/>
      <c r="AF62" s="1">
        <v>0</v>
      </c>
      <c r="AG62" s="2">
        <v>269</v>
      </c>
    </row>
    <row r="63" customHeight="1" spans="3:33">
      <c r="C63" s="1">
        <v>58</v>
      </c>
      <c r="D63" s="1">
        <v>58</v>
      </c>
      <c r="E63" s="1">
        <v>1</v>
      </c>
      <c r="F63" s="7" t="s">
        <v>92</v>
      </c>
      <c r="G63" s="1">
        <v>58</v>
      </c>
      <c r="H63" s="1">
        <f t="shared" si="7"/>
        <v>583356000</v>
      </c>
      <c r="I63" s="1">
        <f t="shared" si="0"/>
        <v>123084000</v>
      </c>
      <c r="J63" s="1">
        <f t="shared" si="9"/>
        <v>33513600000</v>
      </c>
      <c r="K63" s="1">
        <f t="shared" si="1"/>
        <v>200</v>
      </c>
      <c r="L63" s="1">
        <f t="shared" si="2"/>
        <v>120</v>
      </c>
      <c r="M63" s="1">
        <f t="shared" si="3"/>
        <v>80</v>
      </c>
      <c r="N63" s="1">
        <f t="shared" si="4"/>
        <v>160</v>
      </c>
      <c r="O63" s="1">
        <v>39</v>
      </c>
      <c r="P63" s="6">
        <v>40</v>
      </c>
      <c r="Q63" s="2">
        <f t="shared" si="13"/>
        <v>230</v>
      </c>
      <c r="R63" s="1">
        <v>0</v>
      </c>
      <c r="S63" s="1">
        <v>0</v>
      </c>
      <c r="T63" s="6">
        <v>0</v>
      </c>
      <c r="U63" s="6">
        <v>0</v>
      </c>
      <c r="V63" s="1">
        <f t="shared" si="5"/>
        <v>490</v>
      </c>
      <c r="W63" s="1">
        <f t="shared" si="6"/>
        <v>490</v>
      </c>
      <c r="X63" s="1">
        <v>49</v>
      </c>
      <c r="Y63" s="1">
        <v>40</v>
      </c>
      <c r="Z63" s="2">
        <f t="shared" si="15"/>
        <v>120000</v>
      </c>
      <c r="AA63" s="1">
        <v>173</v>
      </c>
      <c r="AB63" s="2">
        <v>39</v>
      </c>
      <c r="AC63" s="2">
        <f t="shared" si="10"/>
        <v>6982</v>
      </c>
      <c r="AD63" s="1">
        <v>0</v>
      </c>
      <c r="AE63" s="1"/>
      <c r="AF63" s="1">
        <v>0</v>
      </c>
      <c r="AG63" s="2">
        <v>271</v>
      </c>
    </row>
    <row r="64" customHeight="1" spans="3:33">
      <c r="C64" s="1">
        <v>59</v>
      </c>
      <c r="D64" s="1">
        <v>59</v>
      </c>
      <c r="E64" s="1">
        <v>1</v>
      </c>
      <c r="F64" s="5" t="s">
        <v>93</v>
      </c>
      <c r="G64" s="1">
        <v>59</v>
      </c>
      <c r="H64" s="1">
        <f t="shared" si="7"/>
        <v>611987500</v>
      </c>
      <c r="I64" s="1">
        <f t="shared" si="0"/>
        <v>131137500</v>
      </c>
      <c r="J64" s="1">
        <f t="shared" si="9"/>
        <v>36265000000</v>
      </c>
      <c r="K64" s="1">
        <f t="shared" si="1"/>
        <v>200</v>
      </c>
      <c r="L64" s="1">
        <f t="shared" si="2"/>
        <v>120</v>
      </c>
      <c r="M64" s="1">
        <f t="shared" si="3"/>
        <v>80</v>
      </c>
      <c r="N64" s="1">
        <f t="shared" si="4"/>
        <v>160</v>
      </c>
      <c r="O64" s="1">
        <v>39</v>
      </c>
      <c r="P64" s="6">
        <v>40</v>
      </c>
      <c r="Q64" s="2">
        <f t="shared" si="13"/>
        <v>235</v>
      </c>
      <c r="R64" s="1">
        <v>0</v>
      </c>
      <c r="S64" s="1">
        <v>0</v>
      </c>
      <c r="T64" s="6">
        <v>0</v>
      </c>
      <c r="U64" s="6">
        <v>0</v>
      </c>
      <c r="V64" s="1">
        <f t="shared" si="5"/>
        <v>490</v>
      </c>
      <c r="W64" s="1">
        <f t="shared" si="6"/>
        <v>490</v>
      </c>
      <c r="X64" s="1">
        <v>49</v>
      </c>
      <c r="Y64" s="1">
        <v>40</v>
      </c>
      <c r="Z64" s="2">
        <f t="shared" si="15"/>
        <v>125000</v>
      </c>
      <c r="AA64" s="1">
        <v>173</v>
      </c>
      <c r="AB64" s="2">
        <v>39</v>
      </c>
      <c r="AC64" s="2">
        <f t="shared" si="10"/>
        <v>7253</v>
      </c>
      <c r="AD64" s="1">
        <v>0</v>
      </c>
      <c r="AE64" s="1"/>
      <c r="AF64" s="1">
        <v>0</v>
      </c>
      <c r="AG64" s="2">
        <v>277</v>
      </c>
    </row>
    <row r="65" customHeight="1" spans="3:33">
      <c r="C65" s="1">
        <v>60</v>
      </c>
      <c r="D65" s="1">
        <v>60</v>
      </c>
      <c r="E65" s="1">
        <v>1</v>
      </c>
      <c r="F65" s="3" t="s">
        <v>94</v>
      </c>
      <c r="G65" s="1">
        <v>60</v>
      </c>
      <c r="H65" s="1">
        <f t="shared" si="7"/>
        <v>658957000</v>
      </c>
      <c r="I65" s="1">
        <f t="shared" si="0"/>
        <v>137397000</v>
      </c>
      <c r="J65" s="1">
        <f t="shared" si="9"/>
        <v>39156000000</v>
      </c>
      <c r="K65" s="1">
        <f t="shared" si="1"/>
        <v>200</v>
      </c>
      <c r="L65" s="1">
        <f t="shared" si="2"/>
        <v>120</v>
      </c>
      <c r="M65" s="1">
        <f t="shared" si="3"/>
        <v>80</v>
      </c>
      <c r="N65" s="1">
        <f t="shared" si="4"/>
        <v>160</v>
      </c>
      <c r="O65" s="1">
        <v>39</v>
      </c>
      <c r="P65" s="6">
        <v>40</v>
      </c>
      <c r="Q65" s="2">
        <f t="shared" si="13"/>
        <v>240</v>
      </c>
      <c r="R65" s="1">
        <v>0</v>
      </c>
      <c r="S65" s="1">
        <v>0</v>
      </c>
      <c r="T65" s="6">
        <v>0</v>
      </c>
      <c r="U65" s="6">
        <v>0</v>
      </c>
      <c r="V65" s="1">
        <f t="shared" si="5"/>
        <v>490</v>
      </c>
      <c r="W65" s="1">
        <f t="shared" si="6"/>
        <v>490</v>
      </c>
      <c r="X65" s="1">
        <v>49</v>
      </c>
      <c r="Y65" s="1">
        <v>40</v>
      </c>
      <c r="Z65" s="2">
        <f t="shared" si="15"/>
        <v>130000</v>
      </c>
      <c r="AA65" s="1">
        <v>173</v>
      </c>
      <c r="AB65" s="2">
        <v>39</v>
      </c>
      <c r="AC65" s="2">
        <f t="shared" si="10"/>
        <v>7530</v>
      </c>
      <c r="AD65" s="1">
        <v>0</v>
      </c>
      <c r="AE65" s="1"/>
      <c r="AF65" s="1">
        <v>0</v>
      </c>
      <c r="AG65" s="2">
        <v>281</v>
      </c>
    </row>
    <row r="66" customHeight="1" spans="3:33">
      <c r="C66" s="1">
        <v>61</v>
      </c>
      <c r="D66" s="1">
        <v>61</v>
      </c>
      <c r="E66" s="1">
        <v>1</v>
      </c>
      <c r="F66" s="5" t="s">
        <v>95</v>
      </c>
      <c r="G66" s="1">
        <v>61</v>
      </c>
      <c r="H66" s="1">
        <f t="shared" si="7"/>
        <v>716998500</v>
      </c>
      <c r="I66" s="1">
        <f t="shared" si="0"/>
        <v>145840500</v>
      </c>
      <c r="J66" s="1">
        <f t="shared" si="9"/>
        <v>42179400000</v>
      </c>
      <c r="K66" s="1">
        <f t="shared" si="1"/>
        <v>200</v>
      </c>
      <c r="L66" s="1">
        <f t="shared" si="2"/>
        <v>120</v>
      </c>
      <c r="M66" s="1">
        <f t="shared" si="3"/>
        <v>80</v>
      </c>
      <c r="N66" s="1">
        <f t="shared" si="4"/>
        <v>160</v>
      </c>
      <c r="O66" s="1">
        <v>39</v>
      </c>
      <c r="P66" s="6">
        <v>40</v>
      </c>
      <c r="Q66" s="2">
        <f t="shared" si="13"/>
        <v>245</v>
      </c>
      <c r="R66" s="1">
        <v>0</v>
      </c>
      <c r="S66" s="1">
        <v>0</v>
      </c>
      <c r="T66" s="6">
        <v>0</v>
      </c>
      <c r="U66" s="6">
        <v>0</v>
      </c>
      <c r="V66" s="1">
        <f t="shared" si="5"/>
        <v>490</v>
      </c>
      <c r="W66" s="1">
        <f t="shared" si="6"/>
        <v>490</v>
      </c>
      <c r="X66" s="1">
        <v>49</v>
      </c>
      <c r="Y66" s="1">
        <v>40</v>
      </c>
      <c r="Z66" s="2">
        <f t="shared" si="15"/>
        <v>135000</v>
      </c>
      <c r="AA66" s="1">
        <v>173</v>
      </c>
      <c r="AB66" s="2">
        <v>39</v>
      </c>
      <c r="AC66" s="2">
        <f t="shared" si="10"/>
        <v>7811</v>
      </c>
      <c r="AD66" s="1">
        <v>0</v>
      </c>
      <c r="AE66" s="1"/>
      <c r="AF66" s="1">
        <v>0</v>
      </c>
      <c r="AG66" s="2">
        <v>283</v>
      </c>
    </row>
    <row r="67" customHeight="1" spans="3:33">
      <c r="C67" s="1">
        <v>62</v>
      </c>
      <c r="D67" s="1">
        <v>62</v>
      </c>
      <c r="E67" s="1">
        <v>1</v>
      </c>
      <c r="F67" s="8" t="s">
        <v>96</v>
      </c>
      <c r="G67" s="1">
        <v>62</v>
      </c>
      <c r="H67" s="1">
        <f t="shared" si="7"/>
        <v>753242000</v>
      </c>
      <c r="I67" s="1">
        <f t="shared" si="0"/>
        <v>153426000</v>
      </c>
      <c r="J67" s="1">
        <f t="shared" si="9"/>
        <v>45326400000</v>
      </c>
      <c r="K67" s="1">
        <f t="shared" si="1"/>
        <v>200</v>
      </c>
      <c r="L67" s="1">
        <f t="shared" si="2"/>
        <v>120</v>
      </c>
      <c r="M67" s="1">
        <f t="shared" si="3"/>
        <v>80</v>
      </c>
      <c r="N67" s="1">
        <f t="shared" si="4"/>
        <v>160</v>
      </c>
      <c r="O67" s="1">
        <v>39</v>
      </c>
      <c r="P67" s="6">
        <v>40</v>
      </c>
      <c r="Q67" s="2">
        <f t="shared" si="13"/>
        <v>250</v>
      </c>
      <c r="R67" s="1">
        <v>0</v>
      </c>
      <c r="S67" s="1">
        <v>0</v>
      </c>
      <c r="T67" s="6">
        <v>0</v>
      </c>
      <c r="U67" s="6">
        <v>0</v>
      </c>
      <c r="V67" s="1">
        <f t="shared" si="5"/>
        <v>490</v>
      </c>
      <c r="W67" s="1">
        <f t="shared" si="6"/>
        <v>490</v>
      </c>
      <c r="X67" s="1">
        <v>49</v>
      </c>
      <c r="Y67" s="1">
        <v>40</v>
      </c>
      <c r="Z67" s="2">
        <f t="shared" si="15"/>
        <v>140000</v>
      </c>
      <c r="AA67" s="1">
        <v>173</v>
      </c>
      <c r="AB67" s="2">
        <v>39</v>
      </c>
      <c r="AC67" s="2">
        <f t="shared" si="10"/>
        <v>8094</v>
      </c>
      <c r="AD67" s="1">
        <v>0</v>
      </c>
      <c r="AE67" s="1"/>
      <c r="AF67" s="1">
        <v>0</v>
      </c>
      <c r="AG67" s="2">
        <v>293</v>
      </c>
    </row>
    <row r="68" customHeight="1" spans="3:33">
      <c r="C68" s="1">
        <v>63</v>
      </c>
      <c r="D68" s="1">
        <v>63</v>
      </c>
      <c r="E68" s="1">
        <v>1</v>
      </c>
      <c r="F68" s="5" t="s">
        <v>97</v>
      </c>
      <c r="G68" s="1">
        <v>63</v>
      </c>
      <c r="H68" s="1">
        <f t="shared" si="7"/>
        <v>785160500</v>
      </c>
      <c r="I68" s="1">
        <f t="shared" si="0"/>
        <v>160036500</v>
      </c>
      <c r="J68" s="1">
        <f t="shared" si="9"/>
        <v>48644600000</v>
      </c>
      <c r="K68" s="1">
        <f t="shared" si="1"/>
        <v>200</v>
      </c>
      <c r="L68" s="1">
        <f t="shared" si="2"/>
        <v>120</v>
      </c>
      <c r="M68" s="1">
        <f t="shared" si="3"/>
        <v>80</v>
      </c>
      <c r="N68" s="1">
        <f t="shared" si="4"/>
        <v>160</v>
      </c>
      <c r="O68" s="1">
        <v>39</v>
      </c>
      <c r="P68" s="6">
        <v>40</v>
      </c>
      <c r="Q68" s="2">
        <f t="shared" si="13"/>
        <v>255</v>
      </c>
      <c r="R68" s="1">
        <v>0</v>
      </c>
      <c r="S68" s="1">
        <v>0</v>
      </c>
      <c r="T68" s="6">
        <v>0</v>
      </c>
      <c r="U68" s="6">
        <v>0</v>
      </c>
      <c r="V68" s="1">
        <f t="shared" si="5"/>
        <v>490</v>
      </c>
      <c r="W68" s="1">
        <f t="shared" si="6"/>
        <v>490</v>
      </c>
      <c r="X68" s="1">
        <v>49</v>
      </c>
      <c r="Y68" s="1">
        <v>40</v>
      </c>
      <c r="Z68" s="2">
        <f t="shared" si="15"/>
        <v>145000</v>
      </c>
      <c r="AA68" s="1">
        <v>173</v>
      </c>
      <c r="AB68" s="2">
        <v>39</v>
      </c>
      <c r="AC68" s="2">
        <f t="shared" si="10"/>
        <v>8387</v>
      </c>
      <c r="AD68" s="1">
        <v>0</v>
      </c>
      <c r="AE68" s="1"/>
      <c r="AF68" s="1">
        <v>0</v>
      </c>
      <c r="AG68" s="2">
        <v>307</v>
      </c>
    </row>
    <row r="69" customHeight="1" spans="3:33">
      <c r="C69" s="1">
        <v>64</v>
      </c>
      <c r="D69" s="1">
        <v>64</v>
      </c>
      <c r="E69" s="1">
        <v>1</v>
      </c>
      <c r="F69" s="5" t="s">
        <v>98</v>
      </c>
      <c r="G69" s="1">
        <v>64</v>
      </c>
      <c r="H69" s="1">
        <f t="shared" si="7"/>
        <v>822615000</v>
      </c>
      <c r="I69" s="1">
        <f t="shared" si="0"/>
        <v>171405000</v>
      </c>
      <c r="J69" s="1">
        <f t="shared" si="9"/>
        <v>52164000000</v>
      </c>
      <c r="K69" s="1">
        <f t="shared" si="1"/>
        <v>200</v>
      </c>
      <c r="L69" s="1">
        <f t="shared" si="2"/>
        <v>120</v>
      </c>
      <c r="M69" s="1">
        <f t="shared" si="3"/>
        <v>80</v>
      </c>
      <c r="N69" s="1">
        <f t="shared" si="4"/>
        <v>160</v>
      </c>
      <c r="O69" s="1">
        <v>39</v>
      </c>
      <c r="P69" s="6">
        <v>40</v>
      </c>
      <c r="Q69" s="2">
        <f t="shared" si="13"/>
        <v>260</v>
      </c>
      <c r="R69" s="1">
        <v>0</v>
      </c>
      <c r="S69" s="1">
        <v>0</v>
      </c>
      <c r="T69" s="6">
        <v>0</v>
      </c>
      <c r="U69" s="6">
        <v>0</v>
      </c>
      <c r="V69" s="1">
        <f t="shared" si="5"/>
        <v>490</v>
      </c>
      <c r="W69" s="1">
        <f t="shared" si="6"/>
        <v>490</v>
      </c>
      <c r="X69" s="1">
        <v>49</v>
      </c>
      <c r="Y69" s="1">
        <v>40</v>
      </c>
      <c r="Z69" s="2">
        <f t="shared" si="15"/>
        <v>150000</v>
      </c>
      <c r="AA69" s="1">
        <v>173</v>
      </c>
      <c r="AB69" s="2">
        <v>39</v>
      </c>
      <c r="AC69" s="2">
        <f t="shared" si="10"/>
        <v>8694</v>
      </c>
      <c r="AD69" s="1">
        <v>0</v>
      </c>
      <c r="AE69" s="1"/>
      <c r="AF69" s="1">
        <v>0</v>
      </c>
      <c r="AG69" s="2">
        <v>311</v>
      </c>
    </row>
    <row r="70" customHeight="1" spans="3:33">
      <c r="C70" s="1">
        <v>65</v>
      </c>
      <c r="D70" s="1">
        <v>65</v>
      </c>
      <c r="E70" s="1">
        <v>1</v>
      </c>
      <c r="F70" s="5" t="s">
        <v>99</v>
      </c>
      <c r="G70" s="1">
        <v>65</v>
      </c>
      <c r="H70" s="1">
        <f t="shared" si="7"/>
        <v>887576500</v>
      </c>
      <c r="I70" s="1">
        <f t="shared" ref="I70:I77" si="16">AB70*AG68*Z70/10</f>
        <v>185581500</v>
      </c>
      <c r="J70" s="1">
        <f t="shared" si="9"/>
        <v>55831000000</v>
      </c>
      <c r="K70" s="1">
        <f t="shared" ref="K70:K77" si="17">Y70*5</f>
        <v>200</v>
      </c>
      <c r="L70" s="1">
        <f t="shared" ref="L70:L77" si="18">Y70*3</f>
        <v>120</v>
      </c>
      <c r="M70" s="1">
        <f t="shared" ref="M70:M77" si="19">Y70*2</f>
        <v>80</v>
      </c>
      <c r="N70" s="1">
        <f t="shared" ref="N70:N77" si="20">Y70*4</f>
        <v>160</v>
      </c>
      <c r="O70" s="1">
        <v>39</v>
      </c>
      <c r="P70" s="6">
        <v>40</v>
      </c>
      <c r="Q70" s="2">
        <f t="shared" si="13"/>
        <v>265</v>
      </c>
      <c r="R70" s="1">
        <v>0</v>
      </c>
      <c r="S70" s="1">
        <v>0</v>
      </c>
      <c r="T70" s="6">
        <v>0</v>
      </c>
      <c r="U70" s="6">
        <v>0</v>
      </c>
      <c r="V70" s="1">
        <f t="shared" ref="V70:V77" si="21">X70*10</f>
        <v>490</v>
      </c>
      <c r="W70" s="1">
        <f t="shared" ref="W70:W77" si="22">X70*10</f>
        <v>490</v>
      </c>
      <c r="X70" s="1">
        <v>49</v>
      </c>
      <c r="Y70" s="1">
        <v>40</v>
      </c>
      <c r="Z70" s="2">
        <f t="shared" si="15"/>
        <v>155000</v>
      </c>
      <c r="AA70" s="1">
        <v>173</v>
      </c>
      <c r="AB70" s="2">
        <v>39</v>
      </c>
      <c r="AC70" s="2">
        <f t="shared" si="10"/>
        <v>9005</v>
      </c>
      <c r="AD70" s="1">
        <v>0</v>
      </c>
      <c r="AE70" s="1"/>
      <c r="AF70" s="1">
        <v>0</v>
      </c>
      <c r="AG70" s="2">
        <v>313</v>
      </c>
    </row>
    <row r="71" customHeight="1" spans="3:33">
      <c r="C71" s="1">
        <v>66</v>
      </c>
      <c r="D71" s="1">
        <v>66</v>
      </c>
      <c r="E71" s="1">
        <v>1</v>
      </c>
      <c r="F71" s="3" t="s">
        <v>100</v>
      </c>
      <c r="G71" s="1">
        <v>66</v>
      </c>
      <c r="H71" s="1">
        <f t="shared" ref="H71:H77" si="23">AG73*Z71*AA71/10</f>
        <v>932816000</v>
      </c>
      <c r="I71" s="1">
        <f t="shared" si="16"/>
        <v>194064000</v>
      </c>
      <c r="J71" s="1">
        <f t="shared" si="9"/>
        <v>59635200000</v>
      </c>
      <c r="K71" s="1">
        <f t="shared" si="17"/>
        <v>200</v>
      </c>
      <c r="L71" s="1">
        <f t="shared" si="18"/>
        <v>120</v>
      </c>
      <c r="M71" s="1">
        <f t="shared" si="19"/>
        <v>80</v>
      </c>
      <c r="N71" s="1">
        <f t="shared" si="20"/>
        <v>160</v>
      </c>
      <c r="O71" s="1">
        <v>39</v>
      </c>
      <c r="P71" s="6">
        <v>40</v>
      </c>
      <c r="Q71" s="2">
        <f t="shared" si="13"/>
        <v>270</v>
      </c>
      <c r="R71" s="1">
        <v>0</v>
      </c>
      <c r="S71" s="1">
        <v>0</v>
      </c>
      <c r="T71" s="6">
        <v>0</v>
      </c>
      <c r="U71" s="6">
        <v>0</v>
      </c>
      <c r="V71" s="1">
        <f t="shared" si="21"/>
        <v>490</v>
      </c>
      <c r="W71" s="1">
        <f t="shared" si="22"/>
        <v>490</v>
      </c>
      <c r="X71" s="1">
        <v>49</v>
      </c>
      <c r="Y71" s="1">
        <v>40</v>
      </c>
      <c r="Z71" s="2">
        <f t="shared" si="15"/>
        <v>160000</v>
      </c>
      <c r="AA71" s="1">
        <v>173</v>
      </c>
      <c r="AB71" s="2">
        <v>39</v>
      </c>
      <c r="AC71" s="2">
        <f t="shared" si="10"/>
        <v>9318</v>
      </c>
      <c r="AD71" s="1">
        <v>0</v>
      </c>
      <c r="AE71" s="1"/>
      <c r="AF71" s="1">
        <v>0</v>
      </c>
      <c r="AG71" s="2">
        <v>317</v>
      </c>
    </row>
    <row r="72" customHeight="1" spans="3:33">
      <c r="C72" s="1">
        <v>67</v>
      </c>
      <c r="D72" s="1">
        <v>67</v>
      </c>
      <c r="E72" s="1">
        <v>1</v>
      </c>
      <c r="F72" s="5" t="s">
        <v>101</v>
      </c>
      <c r="G72" s="1">
        <v>67</v>
      </c>
      <c r="H72" s="1">
        <f t="shared" si="23"/>
        <v>990511500</v>
      </c>
      <c r="I72" s="1">
        <f t="shared" si="16"/>
        <v>201415500</v>
      </c>
      <c r="J72" s="1">
        <f t="shared" si="9"/>
        <v>63591000000</v>
      </c>
      <c r="K72" s="1">
        <f t="shared" si="17"/>
        <v>200</v>
      </c>
      <c r="L72" s="1">
        <f t="shared" si="18"/>
        <v>120</v>
      </c>
      <c r="M72" s="1">
        <f t="shared" si="19"/>
        <v>80</v>
      </c>
      <c r="N72" s="1">
        <f t="shared" si="20"/>
        <v>160</v>
      </c>
      <c r="O72" s="1">
        <v>39</v>
      </c>
      <c r="P72" s="6">
        <v>40</v>
      </c>
      <c r="Q72" s="2">
        <f t="shared" si="13"/>
        <v>275</v>
      </c>
      <c r="R72" s="1">
        <v>0</v>
      </c>
      <c r="S72" s="1">
        <v>0</v>
      </c>
      <c r="T72" s="6">
        <v>0</v>
      </c>
      <c r="U72" s="6">
        <v>0</v>
      </c>
      <c r="V72" s="1">
        <f t="shared" si="21"/>
        <v>490</v>
      </c>
      <c r="W72" s="1">
        <f t="shared" si="22"/>
        <v>490</v>
      </c>
      <c r="X72" s="1">
        <v>49</v>
      </c>
      <c r="Y72" s="1">
        <v>40</v>
      </c>
      <c r="Z72" s="2">
        <f t="shared" si="15"/>
        <v>165000</v>
      </c>
      <c r="AA72" s="1">
        <v>173</v>
      </c>
      <c r="AB72" s="2">
        <v>39</v>
      </c>
      <c r="AC72" s="2">
        <f t="shared" si="10"/>
        <v>9635</v>
      </c>
      <c r="AD72" s="1">
        <v>0</v>
      </c>
      <c r="AE72" s="1"/>
      <c r="AF72" s="1">
        <v>0</v>
      </c>
      <c r="AG72" s="2">
        <v>331</v>
      </c>
    </row>
    <row r="73" customHeight="1" spans="3:33">
      <c r="C73" s="1">
        <v>68</v>
      </c>
      <c r="D73" s="1">
        <v>68</v>
      </c>
      <c r="E73" s="1">
        <v>1</v>
      </c>
      <c r="F73" s="5" t="s">
        <v>102</v>
      </c>
      <c r="G73" s="1">
        <v>68</v>
      </c>
      <c r="H73" s="1">
        <f t="shared" si="23"/>
        <v>1026409000</v>
      </c>
      <c r="I73" s="1">
        <f t="shared" si="16"/>
        <v>210171000</v>
      </c>
      <c r="J73" s="1">
        <f t="shared" ref="J73:J77" si="24">Y73*Z73*AC73</f>
        <v>67768800000</v>
      </c>
      <c r="K73" s="1">
        <f t="shared" si="17"/>
        <v>200</v>
      </c>
      <c r="L73" s="1">
        <f t="shared" si="18"/>
        <v>120</v>
      </c>
      <c r="M73" s="1">
        <f t="shared" si="19"/>
        <v>80</v>
      </c>
      <c r="N73" s="1">
        <f t="shared" si="20"/>
        <v>160</v>
      </c>
      <c r="O73" s="1">
        <v>39</v>
      </c>
      <c r="P73" s="6">
        <v>40</v>
      </c>
      <c r="Q73" s="2">
        <f t="shared" si="13"/>
        <v>280</v>
      </c>
      <c r="R73" s="1">
        <v>0</v>
      </c>
      <c r="S73" s="1">
        <v>0</v>
      </c>
      <c r="T73" s="6">
        <v>0</v>
      </c>
      <c r="U73" s="6">
        <v>0</v>
      </c>
      <c r="V73" s="1">
        <f t="shared" si="21"/>
        <v>490</v>
      </c>
      <c r="W73" s="1">
        <f t="shared" si="22"/>
        <v>490</v>
      </c>
      <c r="X73" s="1">
        <v>49</v>
      </c>
      <c r="Y73" s="1">
        <v>40</v>
      </c>
      <c r="Z73" s="2">
        <f t="shared" si="15"/>
        <v>170000</v>
      </c>
      <c r="AA73" s="1">
        <v>173</v>
      </c>
      <c r="AB73" s="2">
        <v>39</v>
      </c>
      <c r="AC73" s="2">
        <f t="shared" si="10"/>
        <v>9966</v>
      </c>
      <c r="AD73" s="1">
        <v>0</v>
      </c>
      <c r="AE73" s="1"/>
      <c r="AF73" s="1">
        <v>0</v>
      </c>
      <c r="AG73" s="2">
        <v>337</v>
      </c>
    </row>
    <row r="74" customHeight="1" spans="3:33">
      <c r="C74" s="1">
        <v>69</v>
      </c>
      <c r="D74" s="1">
        <v>69</v>
      </c>
      <c r="E74" s="1">
        <v>1</v>
      </c>
      <c r="F74" s="5" t="s">
        <v>103</v>
      </c>
      <c r="G74" s="1">
        <v>69</v>
      </c>
      <c r="H74" s="1">
        <f t="shared" si="23"/>
        <v>1068707500</v>
      </c>
      <c r="I74" s="1">
        <f t="shared" si="16"/>
        <v>225907500</v>
      </c>
      <c r="J74" s="1">
        <f t="shared" si="24"/>
        <v>72121000000</v>
      </c>
      <c r="K74" s="1">
        <f t="shared" si="17"/>
        <v>200</v>
      </c>
      <c r="L74" s="1">
        <f t="shared" si="18"/>
        <v>120</v>
      </c>
      <c r="M74" s="1">
        <f t="shared" si="19"/>
        <v>80</v>
      </c>
      <c r="N74" s="1">
        <f t="shared" si="20"/>
        <v>160</v>
      </c>
      <c r="O74" s="1">
        <v>39</v>
      </c>
      <c r="P74" s="6">
        <v>40</v>
      </c>
      <c r="Q74" s="2">
        <f t="shared" si="13"/>
        <v>285</v>
      </c>
      <c r="R74" s="1">
        <v>0</v>
      </c>
      <c r="S74" s="1">
        <v>0</v>
      </c>
      <c r="T74" s="6">
        <v>0</v>
      </c>
      <c r="U74" s="6">
        <v>0</v>
      </c>
      <c r="V74" s="1">
        <f t="shared" si="21"/>
        <v>490</v>
      </c>
      <c r="W74" s="1">
        <f t="shared" si="22"/>
        <v>490</v>
      </c>
      <c r="X74" s="1">
        <v>49</v>
      </c>
      <c r="Y74" s="1">
        <v>40</v>
      </c>
      <c r="Z74" s="2">
        <f t="shared" si="15"/>
        <v>175000</v>
      </c>
      <c r="AA74" s="1">
        <v>173</v>
      </c>
      <c r="AB74" s="2">
        <v>39</v>
      </c>
      <c r="AC74" s="2">
        <f t="shared" si="10"/>
        <v>10303</v>
      </c>
      <c r="AD74" s="1">
        <v>0</v>
      </c>
      <c r="AE74" s="1"/>
      <c r="AF74" s="1">
        <v>0</v>
      </c>
      <c r="AG74" s="2">
        <v>347</v>
      </c>
    </row>
    <row r="75" customHeight="1" spans="3:33">
      <c r="C75" s="1">
        <v>70</v>
      </c>
      <c r="D75" s="1">
        <v>70</v>
      </c>
      <c r="E75" s="1">
        <v>1</v>
      </c>
      <c r="F75" s="5" t="s">
        <v>104</v>
      </c>
      <c r="G75" s="1">
        <v>70</v>
      </c>
      <c r="H75" s="1">
        <f t="shared" si="23"/>
        <v>1117926000</v>
      </c>
      <c r="I75" s="1">
        <f t="shared" si="16"/>
        <v>236574000</v>
      </c>
      <c r="J75" s="1">
        <f t="shared" si="24"/>
        <v>76680000000</v>
      </c>
      <c r="K75" s="1">
        <f t="shared" si="17"/>
        <v>200</v>
      </c>
      <c r="L75" s="1">
        <f t="shared" si="18"/>
        <v>120</v>
      </c>
      <c r="M75" s="1">
        <f t="shared" si="19"/>
        <v>80</v>
      </c>
      <c r="N75" s="1">
        <f t="shared" si="20"/>
        <v>160</v>
      </c>
      <c r="O75" s="1">
        <v>39</v>
      </c>
      <c r="P75" s="6">
        <v>40</v>
      </c>
      <c r="Q75" s="2">
        <f t="shared" si="13"/>
        <v>290</v>
      </c>
      <c r="R75" s="1">
        <v>0</v>
      </c>
      <c r="S75" s="1">
        <v>0</v>
      </c>
      <c r="T75" s="6">
        <v>0</v>
      </c>
      <c r="U75" s="6">
        <v>0</v>
      </c>
      <c r="V75" s="1">
        <f t="shared" si="21"/>
        <v>490</v>
      </c>
      <c r="W75" s="1">
        <f t="shared" si="22"/>
        <v>490</v>
      </c>
      <c r="X75" s="1">
        <v>49</v>
      </c>
      <c r="Y75" s="1">
        <v>40</v>
      </c>
      <c r="Z75" s="2">
        <f t="shared" si="15"/>
        <v>180000</v>
      </c>
      <c r="AA75" s="1">
        <v>173</v>
      </c>
      <c r="AB75" s="2">
        <v>39</v>
      </c>
      <c r="AC75" s="2">
        <f t="shared" si="10"/>
        <v>10650</v>
      </c>
      <c r="AD75" s="1">
        <v>0</v>
      </c>
      <c r="AE75" s="1"/>
      <c r="AF75" s="1">
        <v>0</v>
      </c>
      <c r="AG75" s="2">
        <v>349</v>
      </c>
    </row>
    <row r="76" customHeight="1" spans="3:33">
      <c r="C76" s="1">
        <v>71</v>
      </c>
      <c r="D76" s="1">
        <v>71</v>
      </c>
      <c r="E76" s="1">
        <v>1</v>
      </c>
      <c r="F76" s="7" t="s">
        <v>105</v>
      </c>
      <c r="G76" s="1">
        <v>71</v>
      </c>
      <c r="H76" s="1">
        <f t="shared" si="23"/>
        <v>1174583500</v>
      </c>
      <c r="I76" s="1">
        <f t="shared" si="16"/>
        <v>250360500</v>
      </c>
      <c r="J76" s="1">
        <f t="shared" si="24"/>
        <v>81392600000</v>
      </c>
      <c r="K76" s="1">
        <f t="shared" si="17"/>
        <v>200</v>
      </c>
      <c r="L76" s="1">
        <f t="shared" si="18"/>
        <v>120</v>
      </c>
      <c r="M76" s="1">
        <f t="shared" si="19"/>
        <v>80</v>
      </c>
      <c r="N76" s="1">
        <f t="shared" si="20"/>
        <v>160</v>
      </c>
      <c r="O76" s="1">
        <v>39</v>
      </c>
      <c r="P76" s="6">
        <v>40</v>
      </c>
      <c r="Q76" s="2">
        <f t="shared" si="13"/>
        <v>295</v>
      </c>
      <c r="R76" s="1">
        <v>0</v>
      </c>
      <c r="S76" s="1">
        <v>0</v>
      </c>
      <c r="T76" s="6">
        <v>0</v>
      </c>
      <c r="U76" s="6">
        <v>0</v>
      </c>
      <c r="V76" s="1">
        <f t="shared" si="21"/>
        <v>490</v>
      </c>
      <c r="W76" s="1">
        <f t="shared" si="22"/>
        <v>490</v>
      </c>
      <c r="X76" s="1">
        <v>49</v>
      </c>
      <c r="Y76" s="1">
        <v>40</v>
      </c>
      <c r="Z76" s="2">
        <f t="shared" si="15"/>
        <v>185000</v>
      </c>
      <c r="AA76" s="1">
        <v>173</v>
      </c>
      <c r="AB76" s="2">
        <v>39</v>
      </c>
      <c r="AC76" s="2">
        <f>AC75+AG75</f>
        <v>10999</v>
      </c>
      <c r="AD76" s="1">
        <v>0</v>
      </c>
      <c r="AE76" s="1"/>
      <c r="AF76" s="1">
        <v>0</v>
      </c>
      <c r="AG76" s="2">
        <v>353</v>
      </c>
    </row>
    <row r="77" customHeight="1" spans="3:33">
      <c r="C77" s="1">
        <v>72</v>
      </c>
      <c r="D77" s="1">
        <v>72</v>
      </c>
      <c r="E77" s="1">
        <v>1</v>
      </c>
      <c r="F77" s="3" t="s">
        <v>106</v>
      </c>
      <c r="G77" s="1">
        <v>72</v>
      </c>
      <c r="H77" s="1">
        <f t="shared" si="23"/>
        <v>1226051000</v>
      </c>
      <c r="I77" s="1">
        <f t="shared" si="16"/>
        <v>258609000</v>
      </c>
      <c r="J77" s="1">
        <f t="shared" si="24"/>
        <v>86275200000</v>
      </c>
      <c r="K77" s="1">
        <f t="shared" si="17"/>
        <v>200</v>
      </c>
      <c r="L77" s="1">
        <f t="shared" si="18"/>
        <v>120</v>
      </c>
      <c r="M77" s="1">
        <f t="shared" si="19"/>
        <v>80</v>
      </c>
      <c r="N77" s="1">
        <f t="shared" si="20"/>
        <v>160</v>
      </c>
      <c r="O77" s="1">
        <v>39</v>
      </c>
      <c r="P77" s="6">
        <v>40</v>
      </c>
      <c r="Q77" s="2">
        <f t="shared" si="13"/>
        <v>300</v>
      </c>
      <c r="R77" s="1">
        <v>0</v>
      </c>
      <c r="S77" s="1">
        <v>0</v>
      </c>
      <c r="T77" s="6">
        <v>0</v>
      </c>
      <c r="U77" s="6">
        <v>0</v>
      </c>
      <c r="V77" s="1">
        <f t="shared" si="21"/>
        <v>490</v>
      </c>
      <c r="W77" s="1">
        <f t="shared" si="22"/>
        <v>490</v>
      </c>
      <c r="X77" s="1">
        <v>49</v>
      </c>
      <c r="Y77" s="1">
        <v>40</v>
      </c>
      <c r="Z77" s="2">
        <f t="shared" si="15"/>
        <v>190000</v>
      </c>
      <c r="AA77" s="1">
        <v>173</v>
      </c>
      <c r="AB77" s="2">
        <v>39</v>
      </c>
      <c r="AC77" s="2">
        <f>AC76+AG76</f>
        <v>11352</v>
      </c>
      <c r="AD77" s="1">
        <v>0</v>
      </c>
      <c r="AE77" s="1"/>
      <c r="AF77" s="1">
        <v>0</v>
      </c>
      <c r="AG77" s="2">
        <v>359</v>
      </c>
    </row>
    <row r="78" customHeight="1" spans="3:33">
      <c r="AG78" s="2">
        <v>367</v>
      </c>
    </row>
    <row r="79" customHeight="1" spans="3:33">
      <c r="AG79" s="2">
        <v>373</v>
      </c>
    </row>
    <row r="80" customHeight="1" spans="3:33">
      <c r="AG80" s="2">
        <v>379</v>
      </c>
    </row>
    <row r="81" customHeight="1" spans="33:33">
      <c r="AG81" s="2">
        <v>383</v>
      </c>
    </row>
    <row r="82" customHeight="1" spans="33:33">
      <c r="AG82" s="2">
        <v>389</v>
      </c>
    </row>
    <row r="83" customHeight="1" spans="33:33">
      <c r="AG83" s="2">
        <v>397</v>
      </c>
    </row>
    <row r="84" customHeight="1" spans="33:33">
      <c r="AG84" s="2">
        <v>401</v>
      </c>
    </row>
    <row r="85" customHeight="1" spans="33:33">
      <c r="AG85" s="2">
        <v>409</v>
      </c>
    </row>
    <row r="86" customHeight="1" spans="33:33">
      <c r="AG86" s="2">
        <v>419</v>
      </c>
    </row>
    <row r="87" customHeight="1" spans="33:33">
      <c r="AG87" s="2">
        <v>421</v>
      </c>
    </row>
    <row r="88" customHeight="1" spans="33:33">
      <c r="AG88" s="2">
        <v>431</v>
      </c>
    </row>
    <row r="89" customHeight="1" spans="33:33">
      <c r="AG89" s="2">
        <v>433</v>
      </c>
    </row>
    <row r="90" customHeight="1" spans="33:33">
      <c r="AG90" s="2">
        <v>439</v>
      </c>
    </row>
    <row r="91" customHeight="1" spans="33:33">
      <c r="AG91" s="2">
        <v>443</v>
      </c>
    </row>
    <row r="92" customHeight="1" spans="33:33">
      <c r="AG92" s="2">
        <v>449</v>
      </c>
    </row>
    <row r="93" customHeight="1" spans="33:33">
      <c r="AG93" s="2">
        <v>457</v>
      </c>
    </row>
    <row r="94" customHeight="1" spans="33:33">
      <c r="AG94" s="2">
        <v>461</v>
      </c>
    </row>
    <row r="95" customHeight="1" spans="33:33">
      <c r="AG95" s="2">
        <v>463</v>
      </c>
    </row>
    <row r="96" customHeight="1" spans="33:33">
      <c r="AG96" s="2">
        <v>467</v>
      </c>
    </row>
    <row r="97" customHeight="1" spans="33:33">
      <c r="AG97" s="2">
        <v>479</v>
      </c>
    </row>
    <row r="98" customHeight="1" spans="33:33">
      <c r="AG98" s="2">
        <v>487</v>
      </c>
    </row>
    <row r="99" customHeight="1" spans="33:33">
      <c r="AG99" s="2">
        <v>491</v>
      </c>
    </row>
    <row r="100" customHeight="1" spans="33:33">
      <c r="AG100" s="2">
        <v>499</v>
      </c>
    </row>
    <row r="101" customHeight="1" spans="33:33">
      <c r="AG101" s="2">
        <v>503</v>
      </c>
    </row>
    <row r="102" customHeight="1" spans="33:33">
      <c r="AG102" s="2">
        <v>509</v>
      </c>
    </row>
    <row r="103" customHeight="1" spans="33:33">
      <c r="AG103" s="2">
        <v>509</v>
      </c>
    </row>
  </sheetData>
  <dataValidations count="1">
    <dataValidation type="custom" allowBlank="1" showErrorMessage="1" errorTitle="拒绝重复输入" error="当前输入的内容，与本区域的其他单元格内容重复。" sqref="C3:U5 AD3:AF5" errorStyle="warning">
      <formula1>COUNTIF($A:$A,C3)&lt;2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生成配置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2026-05-24T06:22:58Z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9F84DDE50D704B5397C5756C2E2E4F1E</vt:lpwstr>
  </property>
  <property fmtid="{D5CDD505-2E9C-101B-9397-08002B2CF9AE}" pid="4" name="CalculationRule">
    <vt:i4>0</vt:i4>
  </property>
</Properties>
</file>