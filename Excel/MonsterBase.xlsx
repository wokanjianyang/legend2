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<sst xmlns="http://schemas.openxmlformats.org/spreadsheetml/2006/main" count="124" uniqueCount="71">
  <si>
    <t>#</t>
  </si>
  <si>
    <t>ID</t>
  </si>
  <si>
    <t>MapId</t>
  </si>
  <si>
    <t>Layer</t>
  </si>
  <si>
    <t>Name</t>
  </si>
  <si>
    <t>ModelId</t>
  </si>
  <si>
    <t>Attr</t>
  </si>
  <si>
    <t>Def</t>
  </si>
  <si>
    <t>HP</t>
  </si>
  <si>
    <t>DamageIncrea</t>
  </si>
  <si>
    <t>DamageResist</t>
  </si>
  <si>
    <t>CritRate</t>
  </si>
  <si>
    <t>CritDamage</t>
  </si>
  <si>
    <t>Speed</t>
  </si>
  <si>
    <t>Miss</t>
  </si>
  <si>
    <t>Accuracy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</si>
  <si>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</si>
  <si>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</si>
  <si>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</si>
  <si>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</si>
  <si>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</si>
  <si>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</si>
  <si>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</si>
  <si>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</si>
  <si>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</si>
  <si>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</si>
  <si>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</si>
  <si>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</si>
  <si>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</si>
  <si>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</si>
  <si>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</si>
  <si>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鸡</t>
  </si>
  <si>
    <t>鹿</t>
  </si>
  <si>
    <t>草人</t>
  </si>
  <si>
    <t>野猫</t>
  </si>
  <si>
    <t>食人花</t>
  </si>
  <si>
    <t>雪人</t>
  </si>
  <si>
    <t>蝙蝠</t>
  </si>
  <si>
    <t>骷髅</t>
  </si>
  <si>
    <t>僵尸</t>
  </si>
  <si>
    <t>毒蛇</t>
  </si>
  <si>
    <t>野狼</t>
  </si>
  <si>
    <t>沙虫</t>
  </si>
  <si>
    <t>小鹰</t>
  </si>
  <si>
    <t>角虫</t>
  </si>
  <si>
    <t>蜈蚣</t>
  </si>
  <si>
    <t>钳虫</t>
  </si>
  <si>
    <t>蠕虫</t>
  </si>
  <si>
    <t>黑野猪</t>
  </si>
  <si>
    <t>白野猪</t>
  </si>
  <si>
    <t>蝎蛇</t>
  </si>
  <si>
    <t>火焰恶魔</t>
  </si>
  <si>
    <t>恶魔勇士</t>
  </si>
  <si>
    <t>邪魔雕像</t>
  </si>
  <si>
    <t>邪魔卫士</t>
  </si>
  <si>
    <t>红野猪</t>
  </si>
  <si>
    <t>树妖</t>
  </si>
  <si>
    <t>邪魔侍卫</t>
  </si>
  <si>
    <t>剧毒僵尸</t>
  </si>
  <si>
    <t>骷髅锤兵</t>
  </si>
  <si>
    <t>牛魔将军</t>
  </si>
  <si>
    <t>水龙</t>
  </si>
  <si>
    <t>土龙</t>
  </si>
  <si>
    <t>毒龙</t>
  </si>
  <si>
    <t>火龙</t>
  </si>
  <si>
    <t>冰龙</t>
  </si>
  <si>
    <t>幻影鸡</t>
  </si>
  <si>
    <t>幻影鹿</t>
  </si>
  <si>
    <t>幻影草人</t>
  </si>
  <si>
    <t>幻影猫</t>
  </si>
  <si>
    <t>幻影花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</si>
</sst>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6"/>
  <sheetViews>
    <sheetView tabSelected="1" workbookViewId="0">
      <selection activeCell="P47" sqref="P47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9.16666666666667" style="2" customWidth="1"/>
    <col min="17" max="17" width="7.50833333333333" style="2" customWidth="1"/>
    <col min="18" max="18" width="11.8333333333333" style="2" customWidth="1"/>
    <col min="19" max="19" width="10.3333333333333" style="2" customWidth="1"/>
    <col min="20" max="20" width="8.33333333333333" style="1" customWidth="1"/>
    <col min="21" max="21" width="7.25" style="1" customWidth="1"/>
    <col min="22" max="24" width="7.16666666666667" style="2" customWidth="1"/>
    <col min="25" max="25" width="8.41666666666667" style="2" customWidth="1"/>
    <col min="26" max="26" width="4.33333333333333" style="2" customWidth="1"/>
    <col min="27" max="27" width="3.75" style="2" customWidth="1"/>
    <col min="28" max="28" width="3" style="2" customWidth="1"/>
    <col min="29" max="16384" width="9" style="2"/>
  </cols>
  <sheetData>
    <row r="1" s="1" customFormat="1" customHeight="1" spans="1:2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1" t="s">
        <v>0</v>
      </c>
      <c r="U1" s="1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</row>
    <row r="2" s="1" customFormat="1" customHeight="1" spans="1:2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" t="s">
        <v>0</v>
      </c>
      <c r="U2" s="1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 t="s">
        <v>0</v>
      </c>
    </row>
    <row r="3" s="1" customFormat="1" customHeight="1" spans="1:28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3" t="s">
        <v>24</v>
      </c>
      <c r="AA3" s="3" t="s">
        <v>25</v>
      </c>
      <c r="AB3" s="3" t="s">
        <v>26</v>
      </c>
    </row>
    <row r="4" s="1" customFormat="1" customHeight="1" spans="1:28">
      <c r="A4" s="2"/>
      <c r="B4" s="2"/>
      <c r="C4" s="3" t="s">
        <v>27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V4" s="2"/>
      <c r="W4" s="2"/>
      <c r="X4" s="2"/>
      <c r="Y4" s="2"/>
      <c r="Z4" s="3" t="s">
        <v>24</v>
      </c>
      <c r="AA4" s="3" t="s">
        <v>25</v>
      </c>
      <c r="AB4" s="3" t="s">
        <v>26</v>
      </c>
    </row>
    <row r="5" s="1" customFormat="1" customHeight="1" spans="1:28">
      <c r="A5" s="2"/>
      <c r="B5" s="2"/>
      <c r="C5" s="3" t="s">
        <v>28</v>
      </c>
      <c r="D5" s="3" t="s">
        <v>28</v>
      </c>
      <c r="E5" s="3" t="s">
        <v>28</v>
      </c>
      <c r="F5" s="3" t="s">
        <v>29</v>
      </c>
      <c r="G5" s="3" t="s">
        <v>28</v>
      </c>
      <c r="H5" s="3" t="s">
        <v>29</v>
      </c>
      <c r="I5" s="3" t="s">
        <v>29</v>
      </c>
      <c r="J5" s="3" t="s">
        <v>29</v>
      </c>
      <c r="K5" s="3" t="s">
        <v>28</v>
      </c>
      <c r="L5" s="3" t="s">
        <v>28</v>
      </c>
      <c r="M5" s="3" t="s">
        <v>28</v>
      </c>
      <c r="N5" s="3" t="s">
        <v>28</v>
      </c>
      <c r="O5" s="3" t="s">
        <v>28</v>
      </c>
      <c r="P5" s="3" t="s">
        <v>28</v>
      </c>
      <c r="Q5" s="3" t="s">
        <v>28</v>
      </c>
      <c r="R5" s="3" t="s">
        <v>30</v>
      </c>
      <c r="S5" s="3" t="s">
        <v>30</v>
      </c>
      <c r="V5" s="2"/>
      <c r="W5" s="2"/>
      <c r="X5" s="2"/>
      <c r="Y5" s="2"/>
      <c r="Z5" s="3" t="s">
        <v>29</v>
      </c>
      <c r="AA5" s="3" t="s">
        <v>29</v>
      </c>
      <c r="AB5" s="3" t="s">
        <v>29</v>
      </c>
    </row>
    <row r="6" ht="14" spans="1:28">
      <c r="C6" s="1">
        <v>1</v>
      </c>
      <c r="D6" s="1">
        <v>1</v>
      </c>
      <c r="E6" s="1">
        <v>1</v>
      </c>
      <c r="F6" s="1" t="s">
        <v>31</v>
      </c>
      <c r="G6" s="1">
        <v>1</v>
      </c>
      <c r="H6" s="1">
        <v>5</v>
      </c>
      <c r="I6" s="1">
        <v>0</v>
      </c>
      <c r="J6" s="1">
        <v>100</v>
      </c>
      <c r="K6" s="1">
        <f t="shared" ref="K6:K45" si="0">U6*5</f>
        <v>5</v>
      </c>
      <c r="L6" s="1">
        <f t="shared" ref="L6:L45" si="1">U6*3</f>
        <v>3</v>
      </c>
      <c r="M6" s="1">
        <f t="shared" ref="M6:M45" si="2">U6*2</f>
        <v>2</v>
      </c>
      <c r="N6" s="1">
        <f t="shared" ref="N6:N45" si="3">U6*4</f>
        <v>4</v>
      </c>
      <c r="O6" s="1">
        <v>0</v>
      </c>
      <c r="P6" s="4">
        <v>1</v>
      </c>
      <c r="Q6" s="4">
        <v>1</v>
      </c>
      <c r="R6" s="1">
        <f t="shared" ref="R6:R46" si="4">T6*10</f>
        <v>100</v>
      </c>
      <c r="S6" s="1">
        <f t="shared" ref="S6:S46" si="5">T6*10</f>
        <v>100</v>
      </c>
      <c r="T6" s="1">
        <v>10</v>
      </c>
      <c r="U6" s="1">
        <v>1</v>
      </c>
      <c r="V6" s="2">
        <v>100</v>
      </c>
      <c r="W6" s="2">
        <v>1</v>
      </c>
      <c r="X6" s="2">
        <v>5</v>
      </c>
      <c r="Y6" s="2">
        <v>10</v>
      </c>
      <c r="Z6" s="1">
        <v>0</v>
      </c>
      <c r="AA6" s="1"/>
      <c r="AB6" s="1">
        <v>0</v>
      </c>
    </row>
    <row r="7" customHeight="1" spans="1:28">
      <c r="C7" s="1">
        <v>2</v>
      </c>
      <c r="D7" s="1">
        <v>2</v>
      </c>
      <c r="E7" s="1">
        <v>1</v>
      </c>
      <c r="F7" s="1" t="s">
        <v>32</v>
      </c>
      <c r="G7" s="1">
        <v>2</v>
      </c>
      <c r="H7" s="1">
        <f t="shared" ref="H7:H45" si="6">U7*V7*W7</f>
        <v>220</v>
      </c>
      <c r="I7" s="1">
        <f t="shared" ref="I7:I45" si="7">U7*V7*X7/100</f>
        <v>11</v>
      </c>
      <c r="J7" s="1">
        <f>U7*V7*Y7</f>
        <v>3300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0</v>
      </c>
      <c r="P7" s="4">
        <v>10</v>
      </c>
      <c r="Q7" s="4">
        <v>2</v>
      </c>
      <c r="R7" s="1">
        <f t="shared" si="4"/>
        <v>110</v>
      </c>
      <c r="S7" s="1">
        <f t="shared" si="5"/>
        <v>110</v>
      </c>
      <c r="T7" s="1">
        <v>11</v>
      </c>
      <c r="U7" s="1">
        <v>2</v>
      </c>
      <c r="V7" s="2">
        <f t="shared" ref="V7:V17" si="8">V6+10</f>
        <v>110</v>
      </c>
      <c r="W7" s="2">
        <v>1</v>
      </c>
      <c r="X7" s="2">
        <v>5</v>
      </c>
      <c r="Y7" s="2">
        <f>Y6+5</f>
        <v>15</v>
      </c>
      <c r="Z7" s="1">
        <v>0</v>
      </c>
      <c r="AA7" s="1"/>
      <c r="AB7" s="1">
        <v>0</v>
      </c>
    </row>
    <row r="8" customHeight="1" spans="1:28">
      <c r="C8" s="1">
        <v>3</v>
      </c>
      <c r="D8" s="1">
        <v>3</v>
      </c>
      <c r="E8" s="1">
        <v>1</v>
      </c>
      <c r="F8" s="1" t="s">
        <v>33</v>
      </c>
      <c r="G8" s="1">
        <v>3</v>
      </c>
      <c r="H8" s="1">
        <f t="shared" si="6"/>
        <v>360</v>
      </c>
      <c r="I8" s="1">
        <f t="shared" si="7"/>
        <v>18</v>
      </c>
      <c r="J8" s="1">
        <f>U8*V8*Y8</f>
        <v>7200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0</v>
      </c>
      <c r="P8" s="2">
        <f t="shared" ref="P8:P45" si="9">P7+2</f>
        <v>12</v>
      </c>
      <c r="Q8" s="4">
        <v>3</v>
      </c>
      <c r="R8" s="1">
        <f t="shared" si="4"/>
        <v>120</v>
      </c>
      <c r="S8" s="1">
        <f t="shared" si="5"/>
        <v>120</v>
      </c>
      <c r="T8" s="1">
        <v>12</v>
      </c>
      <c r="U8" s="1">
        <v>3</v>
      </c>
      <c r="V8" s="2">
        <f t="shared" si="8"/>
        <v>120</v>
      </c>
      <c r="W8" s="2">
        <v>1</v>
      </c>
      <c r="X8" s="2">
        <v>5</v>
      </c>
      <c r="Y8" s="2">
        <f>Y7+5</f>
        <v>20</v>
      </c>
      <c r="Z8" s="1">
        <v>0</v>
      </c>
      <c r="AA8" s="1"/>
      <c r="AB8" s="1">
        <v>0</v>
      </c>
    </row>
    <row r="9" customHeight="1" spans="1:28">
      <c r="C9" s="1">
        <v>4</v>
      </c>
      <c r="D9" s="1">
        <v>4</v>
      </c>
      <c r="E9" s="1">
        <v>1</v>
      </c>
      <c r="F9" s="1" t="s">
        <v>34</v>
      </c>
      <c r="G9" s="1">
        <v>4</v>
      </c>
      <c r="H9" s="1">
        <f t="shared" si="6"/>
        <v>520</v>
      </c>
      <c r="I9" s="1">
        <f t="shared" si="7"/>
        <v>26</v>
      </c>
      <c r="J9" s="1">
        <f t="shared" ref="J7:J45" si="10">U9*V9*Y9</f>
        <v>13000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0</v>
      </c>
      <c r="P9" s="2">
        <f t="shared" si="9"/>
        <v>14</v>
      </c>
      <c r="Q9" s="4">
        <v>4</v>
      </c>
      <c r="R9" s="1">
        <f t="shared" si="4"/>
        <v>130</v>
      </c>
      <c r="S9" s="1">
        <f t="shared" si="5"/>
        <v>130</v>
      </c>
      <c r="T9" s="1">
        <v>13</v>
      </c>
      <c r="U9" s="1">
        <v>4</v>
      </c>
      <c r="V9" s="2">
        <f t="shared" si="8"/>
        <v>130</v>
      </c>
      <c r="W9" s="2">
        <v>1</v>
      </c>
      <c r="X9" s="2">
        <v>5</v>
      </c>
      <c r="Y9" s="2">
        <f>Y8+5</f>
        <v>25</v>
      </c>
      <c r="Z9" s="1">
        <v>0</v>
      </c>
      <c r="AA9" s="1"/>
      <c r="AB9" s="1">
        <v>0</v>
      </c>
    </row>
    <row r="10" customHeight="1" spans="1:28">
      <c r="C10" s="1">
        <v>5</v>
      </c>
      <c r="D10" s="1">
        <v>5</v>
      </c>
      <c r="E10" s="1">
        <v>1</v>
      </c>
      <c r="F10" s="1" t="s">
        <v>35</v>
      </c>
      <c r="G10" s="1">
        <v>5</v>
      </c>
      <c r="H10" s="1">
        <f t="shared" si="6"/>
        <v>700</v>
      </c>
      <c r="I10" s="1">
        <f t="shared" si="7"/>
        <v>35</v>
      </c>
      <c r="J10" s="1">
        <f t="shared" si="10"/>
        <v>21000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0</v>
      </c>
      <c r="P10" s="2">
        <f t="shared" si="9"/>
        <v>16</v>
      </c>
      <c r="Q10" s="4">
        <v>5</v>
      </c>
      <c r="R10" s="1">
        <f t="shared" si="4"/>
        <v>140</v>
      </c>
      <c r="S10" s="1">
        <f t="shared" si="5"/>
        <v>140</v>
      </c>
      <c r="T10" s="1">
        <v>14</v>
      </c>
      <c r="U10" s="1">
        <v>5</v>
      </c>
      <c r="V10" s="2">
        <f t="shared" si="8"/>
        <v>140</v>
      </c>
      <c r="W10" s="2">
        <v>1</v>
      </c>
      <c r="X10" s="2">
        <v>5</v>
      </c>
      <c r="Y10" s="2">
        <f>Y9+5</f>
        <v>30</v>
      </c>
      <c r="Z10" s="1">
        <v>0</v>
      </c>
      <c r="AA10" s="1"/>
      <c r="AB10" s="1">
        <v>0</v>
      </c>
    </row>
    <row r="11" customHeight="1" spans="1:28">
      <c r="C11" s="1">
        <v>6</v>
      </c>
      <c r="D11" s="1">
        <v>6</v>
      </c>
      <c r="E11" s="1">
        <v>1</v>
      </c>
      <c r="F11" s="1" t="s">
        <v>36</v>
      </c>
      <c r="G11" s="1">
        <v>6</v>
      </c>
      <c r="H11" s="1">
        <f t="shared" si="6"/>
        <v>1800</v>
      </c>
      <c r="I11" s="1">
        <f t="shared" si="7"/>
        <v>90</v>
      </c>
      <c r="J11" s="1">
        <f t="shared" si="10"/>
        <v>36000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0</v>
      </c>
      <c r="P11" s="2">
        <f t="shared" si="9"/>
        <v>18</v>
      </c>
      <c r="Q11" s="4">
        <v>6</v>
      </c>
      <c r="R11" s="1">
        <f t="shared" si="4"/>
        <v>150</v>
      </c>
      <c r="S11" s="1">
        <f t="shared" si="5"/>
        <v>150</v>
      </c>
      <c r="T11" s="1">
        <v>15</v>
      </c>
      <c r="U11" s="1">
        <v>6</v>
      </c>
      <c r="V11" s="2">
        <f t="shared" si="8"/>
        <v>150</v>
      </c>
      <c r="W11" s="2">
        <v>2</v>
      </c>
      <c r="X11" s="2">
        <v>10</v>
      </c>
      <c r="Y11" s="2">
        <f t="shared" ref="Y11:Y20" si="11">Y10+10</f>
        <v>40</v>
      </c>
      <c r="Z11" s="1">
        <v>0</v>
      </c>
      <c r="AA11" s="1"/>
      <c r="AB11" s="1">
        <v>0</v>
      </c>
    </row>
    <row r="12" customHeight="1" spans="1:28">
      <c r="C12" s="1">
        <v>7</v>
      </c>
      <c r="D12" s="1">
        <v>7</v>
      </c>
      <c r="E12" s="1">
        <v>1</v>
      </c>
      <c r="F12" s="1" t="s">
        <v>37</v>
      </c>
      <c r="G12" s="1">
        <v>7</v>
      </c>
      <c r="H12" s="1">
        <f t="shared" si="6"/>
        <v>2240</v>
      </c>
      <c r="I12" s="1">
        <f t="shared" si="7"/>
        <v>112</v>
      </c>
      <c r="J12" s="1">
        <f t="shared" si="10"/>
        <v>56000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0</v>
      </c>
      <c r="P12" s="2">
        <f t="shared" si="9"/>
        <v>20</v>
      </c>
      <c r="Q12" s="4">
        <v>7</v>
      </c>
      <c r="R12" s="1">
        <f t="shared" si="4"/>
        <v>160</v>
      </c>
      <c r="S12" s="1">
        <f t="shared" si="5"/>
        <v>160</v>
      </c>
      <c r="T12" s="1">
        <v>16</v>
      </c>
      <c r="U12" s="1">
        <v>7</v>
      </c>
      <c r="V12" s="2">
        <f t="shared" si="8"/>
        <v>160</v>
      </c>
      <c r="W12" s="2">
        <v>2</v>
      </c>
      <c r="X12" s="2">
        <v>10</v>
      </c>
      <c r="Y12" s="2">
        <f t="shared" si="11"/>
        <v>50</v>
      </c>
      <c r="Z12" s="1">
        <v>0</v>
      </c>
      <c r="AA12" s="1"/>
      <c r="AB12" s="1">
        <v>0</v>
      </c>
    </row>
    <row r="13" customHeight="1" spans="1:28">
      <c r="C13" s="1">
        <v>8</v>
      </c>
      <c r="D13" s="1">
        <v>8</v>
      </c>
      <c r="E13" s="1">
        <v>1</v>
      </c>
      <c r="F13" s="1" t="s">
        <v>38</v>
      </c>
      <c r="G13" s="1">
        <v>8</v>
      </c>
      <c r="H13" s="1">
        <f t="shared" si="6"/>
        <v>2720</v>
      </c>
      <c r="I13" s="1">
        <f t="shared" si="7"/>
        <v>136</v>
      </c>
      <c r="J13" s="1">
        <f t="shared" si="10"/>
        <v>81600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0</v>
      </c>
      <c r="P13" s="2">
        <f t="shared" si="9"/>
        <v>22</v>
      </c>
      <c r="Q13" s="4">
        <v>8</v>
      </c>
      <c r="R13" s="1">
        <f t="shared" si="4"/>
        <v>170</v>
      </c>
      <c r="S13" s="1">
        <f t="shared" si="5"/>
        <v>170</v>
      </c>
      <c r="T13" s="1">
        <v>17</v>
      </c>
      <c r="U13" s="1">
        <v>8</v>
      </c>
      <c r="V13" s="2">
        <f t="shared" si="8"/>
        <v>170</v>
      </c>
      <c r="W13" s="2">
        <v>2</v>
      </c>
      <c r="X13" s="2">
        <v>10</v>
      </c>
      <c r="Y13" s="2">
        <f t="shared" si="11"/>
        <v>60</v>
      </c>
      <c r="Z13" s="1">
        <v>0</v>
      </c>
      <c r="AA13" s="1"/>
      <c r="AB13" s="1">
        <v>0</v>
      </c>
    </row>
    <row r="14" customHeight="1" spans="1:28">
      <c r="C14" s="1">
        <v>9</v>
      </c>
      <c r="D14" s="1">
        <v>9</v>
      </c>
      <c r="E14" s="1">
        <v>1</v>
      </c>
      <c r="F14" s="1" t="s">
        <v>39</v>
      </c>
      <c r="G14" s="1">
        <v>9</v>
      </c>
      <c r="H14" s="1">
        <f t="shared" si="6"/>
        <v>3240</v>
      </c>
      <c r="I14" s="1">
        <f t="shared" si="7"/>
        <v>162</v>
      </c>
      <c r="J14" s="1">
        <f t="shared" si="10"/>
        <v>113400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0</v>
      </c>
      <c r="P14" s="2">
        <f t="shared" si="9"/>
        <v>24</v>
      </c>
      <c r="Q14" s="4">
        <v>9</v>
      </c>
      <c r="R14" s="1">
        <f t="shared" si="4"/>
        <v>180</v>
      </c>
      <c r="S14" s="1">
        <f t="shared" si="5"/>
        <v>180</v>
      </c>
      <c r="T14" s="1">
        <v>18</v>
      </c>
      <c r="U14" s="1">
        <v>9</v>
      </c>
      <c r="V14" s="2">
        <f t="shared" si="8"/>
        <v>180</v>
      </c>
      <c r="W14" s="2">
        <v>2</v>
      </c>
      <c r="X14" s="2">
        <v>10</v>
      </c>
      <c r="Y14" s="2">
        <f t="shared" si="11"/>
        <v>70</v>
      </c>
      <c r="Z14" s="1">
        <v>0</v>
      </c>
      <c r="AA14" s="1"/>
      <c r="AB14" s="1">
        <v>0</v>
      </c>
    </row>
    <row r="15" customHeight="1" spans="1:28">
      <c r="C15" s="1">
        <v>10</v>
      </c>
      <c r="D15" s="1">
        <v>10</v>
      </c>
      <c r="E15" s="1">
        <v>1</v>
      </c>
      <c r="F15" s="1" t="s">
        <v>40</v>
      </c>
      <c r="G15" s="1">
        <v>10</v>
      </c>
      <c r="H15" s="1">
        <f t="shared" si="6"/>
        <v>3800</v>
      </c>
      <c r="I15" s="1">
        <f t="shared" si="7"/>
        <v>190</v>
      </c>
      <c r="J15" s="1">
        <f t="shared" si="10"/>
        <v>152000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0</v>
      </c>
      <c r="P15" s="2">
        <f t="shared" si="9"/>
        <v>26</v>
      </c>
      <c r="Q15" s="4">
        <v>10</v>
      </c>
      <c r="R15" s="1">
        <f t="shared" si="4"/>
        <v>190</v>
      </c>
      <c r="S15" s="1">
        <f t="shared" si="5"/>
        <v>190</v>
      </c>
      <c r="T15" s="1">
        <v>19</v>
      </c>
      <c r="U15" s="1">
        <v>10</v>
      </c>
      <c r="V15" s="2">
        <f t="shared" si="8"/>
        <v>190</v>
      </c>
      <c r="W15" s="2">
        <v>2</v>
      </c>
      <c r="X15" s="2">
        <v>10</v>
      </c>
      <c r="Y15" s="2">
        <f t="shared" si="11"/>
        <v>80</v>
      </c>
      <c r="Z15" s="1">
        <v>0</v>
      </c>
      <c r="AA15" s="1"/>
      <c r="AB15" s="1">
        <v>0</v>
      </c>
    </row>
    <row r="16" customHeight="1" spans="1:28">
      <c r="C16" s="1">
        <v>11</v>
      </c>
      <c r="D16" s="1">
        <v>11</v>
      </c>
      <c r="E16" s="1">
        <v>1</v>
      </c>
      <c r="F16" s="1" t="s">
        <v>41</v>
      </c>
      <c r="G16" s="1">
        <v>11</v>
      </c>
      <c r="H16" s="1">
        <f t="shared" si="6"/>
        <v>6600</v>
      </c>
      <c r="I16" s="1">
        <f t="shared" si="7"/>
        <v>330</v>
      </c>
      <c r="J16" s="1">
        <f t="shared" si="10"/>
        <v>198000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0</v>
      </c>
      <c r="P16" s="2">
        <f t="shared" si="9"/>
        <v>28</v>
      </c>
      <c r="Q16" s="4">
        <v>11</v>
      </c>
      <c r="R16" s="1">
        <f t="shared" si="4"/>
        <v>200</v>
      </c>
      <c r="S16" s="1">
        <f t="shared" si="5"/>
        <v>200</v>
      </c>
      <c r="T16" s="1">
        <v>20</v>
      </c>
      <c r="U16" s="1">
        <v>11</v>
      </c>
      <c r="V16" s="2">
        <f t="shared" si="8"/>
        <v>200</v>
      </c>
      <c r="W16" s="2">
        <v>3</v>
      </c>
      <c r="X16" s="2">
        <v>15</v>
      </c>
      <c r="Y16" s="2">
        <f t="shared" si="11"/>
        <v>90</v>
      </c>
      <c r="Z16" s="1">
        <v>0</v>
      </c>
      <c r="AA16" s="1"/>
      <c r="AB16" s="1">
        <v>0</v>
      </c>
    </row>
    <row r="17" customHeight="1" spans="3:28">
      <c r="C17" s="1">
        <v>12</v>
      </c>
      <c r="D17" s="1">
        <v>12</v>
      </c>
      <c r="E17" s="1">
        <v>1</v>
      </c>
      <c r="F17" s="1" t="s">
        <v>42</v>
      </c>
      <c r="G17" s="1">
        <v>12</v>
      </c>
      <c r="H17" s="1">
        <f t="shared" si="6"/>
        <v>7920</v>
      </c>
      <c r="I17" s="1">
        <f t="shared" si="7"/>
        <v>396</v>
      </c>
      <c r="J17" s="1">
        <f t="shared" si="10"/>
        <v>264000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0</v>
      </c>
      <c r="P17" s="2">
        <f t="shared" si="9"/>
        <v>30</v>
      </c>
      <c r="Q17" s="4">
        <v>12</v>
      </c>
      <c r="R17" s="1">
        <f t="shared" si="4"/>
        <v>210</v>
      </c>
      <c r="S17" s="1">
        <f t="shared" si="5"/>
        <v>210</v>
      </c>
      <c r="T17" s="1">
        <v>21</v>
      </c>
      <c r="U17" s="1">
        <v>12</v>
      </c>
      <c r="V17" s="2">
        <f t="shared" ref="V17:V30" si="12">V16+20</f>
        <v>220</v>
      </c>
      <c r="W17" s="2">
        <v>3</v>
      </c>
      <c r="X17" s="2">
        <v>15</v>
      </c>
      <c r="Y17" s="2">
        <f t="shared" si="11"/>
        <v>100</v>
      </c>
      <c r="Z17" s="1">
        <v>0</v>
      </c>
      <c r="AA17" s="1"/>
      <c r="AB17" s="1">
        <v>0</v>
      </c>
    </row>
    <row r="18" customHeight="1" spans="3:28">
      <c r="C18" s="1">
        <v>13</v>
      </c>
      <c r="D18" s="1">
        <v>13</v>
      </c>
      <c r="E18" s="1">
        <v>1</v>
      </c>
      <c r="F18" s="1" t="s">
        <v>43</v>
      </c>
      <c r="G18" s="1">
        <v>13</v>
      </c>
      <c r="H18" s="1">
        <f t="shared" si="6"/>
        <v>9360</v>
      </c>
      <c r="I18" s="1">
        <f t="shared" si="7"/>
        <v>468</v>
      </c>
      <c r="J18" s="1">
        <f t="shared" si="10"/>
        <v>374400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0</v>
      </c>
      <c r="P18" s="2">
        <f t="shared" si="9"/>
        <v>32</v>
      </c>
      <c r="Q18" s="4">
        <v>13</v>
      </c>
      <c r="R18" s="1">
        <f t="shared" si="4"/>
        <v>220</v>
      </c>
      <c r="S18" s="1">
        <f t="shared" si="5"/>
        <v>220</v>
      </c>
      <c r="T18" s="1">
        <v>22</v>
      </c>
      <c r="U18" s="1">
        <v>13</v>
      </c>
      <c r="V18" s="2">
        <f t="shared" si="12"/>
        <v>240</v>
      </c>
      <c r="W18" s="2">
        <v>3</v>
      </c>
      <c r="X18" s="2">
        <v>15</v>
      </c>
      <c r="Y18" s="2">
        <f t="shared" ref="Y18:Y30" si="13">Y17+20</f>
        <v>120</v>
      </c>
      <c r="Z18" s="1">
        <v>0</v>
      </c>
      <c r="AA18" s="1"/>
      <c r="AB18" s="1">
        <v>0</v>
      </c>
    </row>
    <row r="19" customHeight="1" spans="3:28">
      <c r="C19" s="1">
        <v>14</v>
      </c>
      <c r="D19" s="1">
        <v>14</v>
      </c>
      <c r="E19" s="1">
        <v>1</v>
      </c>
      <c r="F19" s="1" t="s">
        <v>44</v>
      </c>
      <c r="G19" s="1">
        <v>14</v>
      </c>
      <c r="H19" s="1">
        <f t="shared" si="6"/>
        <v>10920</v>
      </c>
      <c r="I19" s="1">
        <f t="shared" si="7"/>
        <v>546</v>
      </c>
      <c r="J19" s="1">
        <f t="shared" si="10"/>
        <v>509600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0</v>
      </c>
      <c r="P19" s="2">
        <f t="shared" si="9"/>
        <v>34</v>
      </c>
      <c r="Q19" s="4">
        <v>14</v>
      </c>
      <c r="R19" s="1">
        <f t="shared" si="4"/>
        <v>230</v>
      </c>
      <c r="S19" s="1">
        <f t="shared" si="5"/>
        <v>230</v>
      </c>
      <c r="T19" s="1">
        <v>23</v>
      </c>
      <c r="U19" s="1">
        <v>14</v>
      </c>
      <c r="V19" s="2">
        <f t="shared" si="12"/>
        <v>260</v>
      </c>
      <c r="W19" s="2">
        <v>3</v>
      </c>
      <c r="X19" s="2">
        <v>15</v>
      </c>
      <c r="Y19" s="2">
        <f t="shared" si="13"/>
        <v>140</v>
      </c>
      <c r="Z19" s="1">
        <v>0</v>
      </c>
      <c r="AA19" s="1"/>
      <c r="AB19" s="1">
        <v>0</v>
      </c>
    </row>
    <row r="20" customHeight="1" spans="3:28">
      <c r="C20" s="1">
        <v>15</v>
      </c>
      <c r="D20" s="1">
        <v>15</v>
      </c>
      <c r="E20" s="1">
        <v>1</v>
      </c>
      <c r="F20" s="1" t="s">
        <v>45</v>
      </c>
      <c r="G20" s="1">
        <v>15</v>
      </c>
      <c r="H20" s="1">
        <f t="shared" si="6"/>
        <v>12600</v>
      </c>
      <c r="I20" s="1">
        <f t="shared" si="7"/>
        <v>630</v>
      </c>
      <c r="J20" s="1">
        <f t="shared" si="10"/>
        <v>672000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0</v>
      </c>
      <c r="P20" s="2">
        <f t="shared" si="9"/>
        <v>36</v>
      </c>
      <c r="Q20" s="4">
        <v>15</v>
      </c>
      <c r="R20" s="1">
        <f t="shared" si="4"/>
        <v>240</v>
      </c>
      <c r="S20" s="1">
        <f t="shared" si="5"/>
        <v>240</v>
      </c>
      <c r="T20" s="1">
        <v>24</v>
      </c>
      <c r="U20" s="1">
        <v>15</v>
      </c>
      <c r="V20" s="2">
        <f t="shared" si="12"/>
        <v>280</v>
      </c>
      <c r="W20" s="2">
        <v>3</v>
      </c>
      <c r="X20" s="2">
        <v>15</v>
      </c>
      <c r="Y20" s="2">
        <f t="shared" si="13"/>
        <v>160</v>
      </c>
      <c r="Z20" s="1">
        <v>0</v>
      </c>
      <c r="AA20" s="1"/>
      <c r="AB20" s="1">
        <v>0</v>
      </c>
    </row>
    <row r="21" customHeight="1" spans="3:28">
      <c r="C21" s="1">
        <v>16</v>
      </c>
      <c r="D21" s="1">
        <v>16</v>
      </c>
      <c r="E21" s="1">
        <v>1</v>
      </c>
      <c r="F21" s="1" t="s">
        <v>46</v>
      </c>
      <c r="G21" s="1">
        <v>16</v>
      </c>
      <c r="H21" s="1">
        <f t="shared" si="6"/>
        <v>19200</v>
      </c>
      <c r="I21" s="1">
        <f t="shared" si="7"/>
        <v>960</v>
      </c>
      <c r="J21" s="1">
        <f t="shared" si="10"/>
        <v>864000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0</v>
      </c>
      <c r="P21" s="2">
        <f t="shared" si="9"/>
        <v>38</v>
      </c>
      <c r="Q21" s="4">
        <v>16</v>
      </c>
      <c r="R21" s="1">
        <f t="shared" si="4"/>
        <v>250</v>
      </c>
      <c r="S21" s="1">
        <f t="shared" si="5"/>
        <v>250</v>
      </c>
      <c r="T21" s="1">
        <v>25</v>
      </c>
      <c r="U21" s="1">
        <v>16</v>
      </c>
      <c r="V21" s="2">
        <f t="shared" si="12"/>
        <v>300</v>
      </c>
      <c r="W21" s="2">
        <v>4</v>
      </c>
      <c r="X21" s="2">
        <v>20</v>
      </c>
      <c r="Y21" s="2">
        <f t="shared" si="13"/>
        <v>180</v>
      </c>
      <c r="Z21" s="1">
        <v>0</v>
      </c>
      <c r="AA21" s="1"/>
      <c r="AB21" s="1">
        <v>0</v>
      </c>
    </row>
    <row r="22" customHeight="1" spans="3:28">
      <c r="C22" s="1">
        <v>17</v>
      </c>
      <c r="D22" s="1">
        <v>17</v>
      </c>
      <c r="E22" s="1">
        <v>1</v>
      </c>
      <c r="F22" s="1" t="s">
        <v>47</v>
      </c>
      <c r="G22" s="1">
        <v>17</v>
      </c>
      <c r="H22" s="1">
        <f t="shared" si="6"/>
        <v>21760</v>
      </c>
      <c r="I22" s="1">
        <f t="shared" si="7"/>
        <v>1088</v>
      </c>
      <c r="J22" s="1">
        <f t="shared" si="10"/>
        <v>1088000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0</v>
      </c>
      <c r="P22" s="2">
        <f t="shared" si="9"/>
        <v>40</v>
      </c>
      <c r="Q22" s="4">
        <v>17</v>
      </c>
      <c r="R22" s="1">
        <f t="shared" si="4"/>
        <v>260</v>
      </c>
      <c r="S22" s="1">
        <f t="shared" si="5"/>
        <v>260</v>
      </c>
      <c r="T22" s="1">
        <v>26</v>
      </c>
      <c r="U22" s="1">
        <v>17</v>
      </c>
      <c r="V22" s="2">
        <f t="shared" si="12"/>
        <v>320</v>
      </c>
      <c r="W22" s="2">
        <v>4</v>
      </c>
      <c r="X22" s="2">
        <v>20</v>
      </c>
      <c r="Y22" s="2">
        <f t="shared" si="13"/>
        <v>200</v>
      </c>
      <c r="Z22" s="1">
        <v>0</v>
      </c>
      <c r="AA22" s="1"/>
      <c r="AB22" s="1">
        <v>0</v>
      </c>
    </row>
    <row r="23" customHeight="1" spans="3:28">
      <c r="C23" s="1">
        <v>18</v>
      </c>
      <c r="D23" s="1">
        <v>18</v>
      </c>
      <c r="E23" s="1">
        <v>1</v>
      </c>
      <c r="F23" s="1" t="s">
        <v>48</v>
      </c>
      <c r="G23" s="1">
        <v>18</v>
      </c>
      <c r="H23" s="1">
        <f t="shared" si="6"/>
        <v>24480</v>
      </c>
      <c r="I23" s="1">
        <f t="shared" si="7"/>
        <v>1224</v>
      </c>
      <c r="J23" s="1">
        <f t="shared" si="10"/>
        <v>1346400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0</v>
      </c>
      <c r="P23" s="2">
        <f t="shared" si="9"/>
        <v>42</v>
      </c>
      <c r="Q23" s="4">
        <v>18</v>
      </c>
      <c r="R23" s="1">
        <f t="shared" si="4"/>
        <v>270</v>
      </c>
      <c r="S23" s="1">
        <f t="shared" si="5"/>
        <v>270</v>
      </c>
      <c r="T23" s="1">
        <v>27</v>
      </c>
      <c r="U23" s="1">
        <v>18</v>
      </c>
      <c r="V23" s="2">
        <f t="shared" si="12"/>
        <v>340</v>
      </c>
      <c r="W23" s="2">
        <v>4</v>
      </c>
      <c r="X23" s="2">
        <v>20</v>
      </c>
      <c r="Y23" s="2">
        <f t="shared" si="13"/>
        <v>220</v>
      </c>
      <c r="Z23" s="1">
        <v>0</v>
      </c>
      <c r="AA23" s="1"/>
      <c r="AB23" s="1">
        <v>0</v>
      </c>
    </row>
    <row r="24" customHeight="1" spans="3:28">
      <c r="C24" s="1">
        <v>19</v>
      </c>
      <c r="D24" s="1">
        <v>19</v>
      </c>
      <c r="E24" s="1">
        <v>1</v>
      </c>
      <c r="F24" s="1" t="s">
        <v>49</v>
      </c>
      <c r="G24" s="1">
        <v>19</v>
      </c>
      <c r="H24" s="1">
        <f t="shared" si="6"/>
        <v>27360</v>
      </c>
      <c r="I24" s="1">
        <f t="shared" si="7"/>
        <v>1368</v>
      </c>
      <c r="J24" s="1">
        <f t="shared" si="10"/>
        <v>1641600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0</v>
      </c>
      <c r="P24" s="2">
        <f t="shared" si="9"/>
        <v>44</v>
      </c>
      <c r="Q24" s="4">
        <v>19</v>
      </c>
      <c r="R24" s="1">
        <f t="shared" si="4"/>
        <v>280</v>
      </c>
      <c r="S24" s="1">
        <f t="shared" si="5"/>
        <v>280</v>
      </c>
      <c r="T24" s="1">
        <v>28</v>
      </c>
      <c r="U24" s="1">
        <v>19</v>
      </c>
      <c r="V24" s="2">
        <f t="shared" si="12"/>
        <v>360</v>
      </c>
      <c r="W24" s="2">
        <v>4</v>
      </c>
      <c r="X24" s="2">
        <v>20</v>
      </c>
      <c r="Y24" s="2">
        <f t="shared" si="13"/>
        <v>240</v>
      </c>
      <c r="Z24" s="1">
        <v>0</v>
      </c>
      <c r="AA24" s="1"/>
      <c r="AB24" s="1">
        <v>0</v>
      </c>
    </row>
    <row r="25" customHeight="1" spans="3:28">
      <c r="C25" s="1">
        <v>20</v>
      </c>
      <c r="D25" s="1">
        <v>20</v>
      </c>
      <c r="E25" s="1">
        <v>1</v>
      </c>
      <c r="F25" s="1" t="s">
        <v>50</v>
      </c>
      <c r="G25" s="1">
        <v>20</v>
      </c>
      <c r="H25" s="1">
        <f t="shared" si="6"/>
        <v>30400</v>
      </c>
      <c r="I25" s="1">
        <f t="shared" si="7"/>
        <v>1520</v>
      </c>
      <c r="J25" s="1">
        <f t="shared" si="10"/>
        <v>1976000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0</v>
      </c>
      <c r="P25" s="2">
        <f t="shared" si="9"/>
        <v>46</v>
      </c>
      <c r="Q25" s="4">
        <v>20</v>
      </c>
      <c r="R25" s="1">
        <f t="shared" si="4"/>
        <v>290</v>
      </c>
      <c r="S25" s="1">
        <f t="shared" si="5"/>
        <v>290</v>
      </c>
      <c r="T25" s="1">
        <v>29</v>
      </c>
      <c r="U25" s="1">
        <v>20</v>
      </c>
      <c r="V25" s="2">
        <f t="shared" si="12"/>
        <v>380</v>
      </c>
      <c r="W25" s="2">
        <v>4</v>
      </c>
      <c r="X25" s="2">
        <v>20</v>
      </c>
      <c r="Y25" s="2">
        <f t="shared" si="13"/>
        <v>260</v>
      </c>
      <c r="Z25" s="1">
        <v>0</v>
      </c>
      <c r="AA25" s="1"/>
      <c r="AB25" s="1">
        <v>0</v>
      </c>
    </row>
    <row r="26" customHeight="1" spans="3:28">
      <c r="C26" s="1">
        <v>21</v>
      </c>
      <c r="D26" s="1">
        <v>21</v>
      </c>
      <c r="E26" s="1">
        <v>1</v>
      </c>
      <c r="F26" s="1" t="s">
        <v>51</v>
      </c>
      <c r="G26" s="1">
        <v>21</v>
      </c>
      <c r="H26" s="1">
        <f t="shared" si="6"/>
        <v>42000</v>
      </c>
      <c r="I26" s="1">
        <f t="shared" si="7"/>
        <v>2100</v>
      </c>
      <c r="J26" s="1">
        <f t="shared" si="10"/>
        <v>2352000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0</v>
      </c>
      <c r="P26" s="2">
        <f t="shared" si="9"/>
        <v>48</v>
      </c>
      <c r="Q26" s="4">
        <v>21</v>
      </c>
      <c r="R26" s="1">
        <f t="shared" si="4"/>
        <v>300</v>
      </c>
      <c r="S26" s="1">
        <f t="shared" si="5"/>
        <v>300</v>
      </c>
      <c r="T26" s="1">
        <v>30</v>
      </c>
      <c r="U26" s="1">
        <v>21</v>
      </c>
      <c r="V26" s="2">
        <f t="shared" si="12"/>
        <v>400</v>
      </c>
      <c r="W26" s="2">
        <v>5</v>
      </c>
      <c r="X26" s="2">
        <v>25</v>
      </c>
      <c r="Y26" s="2">
        <f t="shared" si="13"/>
        <v>280</v>
      </c>
      <c r="Z26" s="1">
        <v>0</v>
      </c>
      <c r="AA26" s="1"/>
      <c r="AB26" s="1">
        <v>0</v>
      </c>
    </row>
    <row r="27" customHeight="1" spans="3:28">
      <c r="C27" s="1">
        <v>22</v>
      </c>
      <c r="D27" s="1">
        <v>22</v>
      </c>
      <c r="E27" s="1">
        <v>1</v>
      </c>
      <c r="F27" s="1" t="s">
        <v>52</v>
      </c>
      <c r="G27" s="1">
        <v>22</v>
      </c>
      <c r="H27" s="1">
        <f t="shared" si="6"/>
        <v>48400</v>
      </c>
      <c r="I27" s="1">
        <f t="shared" si="7"/>
        <v>2420</v>
      </c>
      <c r="J27" s="1">
        <f t="shared" si="10"/>
        <v>2904000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0</v>
      </c>
      <c r="P27" s="2">
        <f t="shared" si="9"/>
        <v>50</v>
      </c>
      <c r="Q27" s="4">
        <v>22</v>
      </c>
      <c r="R27" s="1">
        <f t="shared" si="4"/>
        <v>310</v>
      </c>
      <c r="S27" s="1">
        <f t="shared" si="5"/>
        <v>310</v>
      </c>
      <c r="T27" s="1">
        <v>31</v>
      </c>
      <c r="U27" s="1">
        <v>22</v>
      </c>
      <c r="V27" s="2">
        <f t="shared" ref="V27:V38" si="14">V26+40</f>
        <v>440</v>
      </c>
      <c r="W27" s="2">
        <v>5</v>
      </c>
      <c r="X27" s="2">
        <v>25</v>
      </c>
      <c r="Y27" s="2">
        <f t="shared" si="13"/>
        <v>300</v>
      </c>
      <c r="Z27" s="1">
        <v>0</v>
      </c>
      <c r="AA27" s="1"/>
      <c r="AB27" s="1">
        <v>0</v>
      </c>
    </row>
    <row r="28" customHeight="1" spans="3:28">
      <c r="C28" s="1">
        <v>23</v>
      </c>
      <c r="D28" s="1">
        <v>23</v>
      </c>
      <c r="E28" s="1">
        <v>1</v>
      </c>
      <c r="F28" s="1" t="s">
        <v>53</v>
      </c>
      <c r="G28" s="1">
        <v>23</v>
      </c>
      <c r="H28" s="1">
        <f t="shared" si="6"/>
        <v>55200</v>
      </c>
      <c r="I28" s="1">
        <f t="shared" si="7"/>
        <v>2760</v>
      </c>
      <c r="J28" s="1">
        <f t="shared" si="10"/>
        <v>3643200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0</v>
      </c>
      <c r="P28" s="2">
        <f>P27+5</f>
        <v>55</v>
      </c>
      <c r="Q28" s="4">
        <v>23</v>
      </c>
      <c r="R28" s="1">
        <f t="shared" si="4"/>
        <v>320</v>
      </c>
      <c r="S28" s="1">
        <f t="shared" si="5"/>
        <v>320</v>
      </c>
      <c r="T28" s="1">
        <v>32</v>
      </c>
      <c r="U28" s="1">
        <v>23</v>
      </c>
      <c r="V28" s="2">
        <f t="shared" si="14"/>
        <v>480</v>
      </c>
      <c r="W28" s="2">
        <v>5</v>
      </c>
      <c r="X28" s="2">
        <v>25</v>
      </c>
      <c r="Y28" s="2">
        <f t="shared" ref="Y28:Y45" si="15">Y27+30</f>
        <v>330</v>
      </c>
      <c r="Z28" s="1">
        <v>0</v>
      </c>
      <c r="AA28" s="1"/>
      <c r="AB28" s="1">
        <v>0</v>
      </c>
    </row>
    <row r="29" customHeight="1" spans="3:28">
      <c r="C29" s="1">
        <v>24</v>
      </c>
      <c r="D29" s="1">
        <v>24</v>
      </c>
      <c r="E29" s="1">
        <v>1</v>
      </c>
      <c r="F29" s="1" t="s">
        <v>54</v>
      </c>
      <c r="G29" s="1">
        <v>24</v>
      </c>
      <c r="H29" s="1">
        <f t="shared" si="6"/>
        <v>62400</v>
      </c>
      <c r="I29" s="1">
        <f t="shared" si="7"/>
        <v>3120</v>
      </c>
      <c r="J29" s="1">
        <f t="shared" si="10"/>
        <v>4492800</v>
      </c>
      <c r="K29" s="1">
        <f t="shared" si="0"/>
        <v>120</v>
      </c>
      <c r="L29" s="1">
        <f t="shared" si="1"/>
        <v>72</v>
      </c>
      <c r="M29" s="1">
        <f t="shared" si="2"/>
        <v>48</v>
      </c>
      <c r="N29" s="1">
        <f t="shared" si="3"/>
        <v>96</v>
      </c>
      <c r="O29" s="1">
        <v>0</v>
      </c>
      <c r="P29" s="2">
        <f t="shared" ref="P29:P45" si="16">P28+5</f>
        <v>60</v>
      </c>
      <c r="Q29" s="4">
        <v>24</v>
      </c>
      <c r="R29" s="1">
        <f t="shared" si="4"/>
        <v>330</v>
      </c>
      <c r="S29" s="1">
        <f t="shared" si="5"/>
        <v>330</v>
      </c>
      <c r="T29" s="1">
        <v>33</v>
      </c>
      <c r="U29" s="1">
        <v>24</v>
      </c>
      <c r="V29" s="2">
        <f t="shared" si="14"/>
        <v>520</v>
      </c>
      <c r="W29" s="2">
        <v>5</v>
      </c>
      <c r="X29" s="2">
        <v>25</v>
      </c>
      <c r="Y29" s="2">
        <f t="shared" si="15"/>
        <v>360</v>
      </c>
      <c r="Z29" s="1">
        <v>0</v>
      </c>
      <c r="AA29" s="1"/>
      <c r="AB29" s="1">
        <v>0</v>
      </c>
    </row>
    <row r="30" customHeight="1" spans="3:28">
      <c r="C30" s="1">
        <v>25</v>
      </c>
      <c r="D30" s="1">
        <v>25</v>
      </c>
      <c r="E30" s="1">
        <v>1</v>
      </c>
      <c r="F30" s="1" t="s">
        <v>55</v>
      </c>
      <c r="G30" s="1">
        <v>25</v>
      </c>
      <c r="H30" s="1">
        <f t="shared" si="6"/>
        <v>70000</v>
      </c>
      <c r="I30" s="1">
        <f t="shared" si="7"/>
        <v>3500</v>
      </c>
      <c r="J30" s="1">
        <f t="shared" si="10"/>
        <v>5460000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0</v>
      </c>
      <c r="P30" s="2">
        <f t="shared" si="16"/>
        <v>65</v>
      </c>
      <c r="Q30" s="4">
        <v>25</v>
      </c>
      <c r="R30" s="1">
        <f t="shared" si="4"/>
        <v>340</v>
      </c>
      <c r="S30" s="1">
        <f t="shared" si="5"/>
        <v>340</v>
      </c>
      <c r="T30" s="1">
        <v>34</v>
      </c>
      <c r="U30" s="1">
        <v>25</v>
      </c>
      <c r="V30" s="2">
        <f t="shared" si="14"/>
        <v>560</v>
      </c>
      <c r="W30" s="2">
        <v>5</v>
      </c>
      <c r="X30" s="2">
        <v>25</v>
      </c>
      <c r="Y30" s="2">
        <f t="shared" si="15"/>
        <v>390</v>
      </c>
      <c r="Z30" s="1">
        <v>0</v>
      </c>
      <c r="AA30" s="1"/>
      <c r="AB30" s="1">
        <v>0</v>
      </c>
    </row>
    <row r="31" customHeight="1" spans="3:28">
      <c r="C31" s="1">
        <v>26</v>
      </c>
      <c r="D31" s="1">
        <v>26</v>
      </c>
      <c r="E31" s="1">
        <v>1</v>
      </c>
      <c r="F31" s="1" t="s">
        <v>56</v>
      </c>
      <c r="G31" s="1">
        <v>26</v>
      </c>
      <c r="H31" s="1">
        <f t="shared" si="6"/>
        <v>93600</v>
      </c>
      <c r="I31" s="1">
        <f t="shared" si="7"/>
        <v>4680</v>
      </c>
      <c r="J31" s="1">
        <f t="shared" si="10"/>
        <v>6552000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0</v>
      </c>
      <c r="P31" s="2">
        <f t="shared" si="16"/>
        <v>70</v>
      </c>
      <c r="Q31" s="4">
        <v>26</v>
      </c>
      <c r="R31" s="1">
        <f t="shared" si="4"/>
        <v>350</v>
      </c>
      <c r="S31" s="1">
        <f t="shared" si="5"/>
        <v>350</v>
      </c>
      <c r="T31" s="1">
        <v>35</v>
      </c>
      <c r="U31" s="1">
        <v>26</v>
      </c>
      <c r="V31" s="2">
        <f t="shared" si="14"/>
        <v>600</v>
      </c>
      <c r="W31" s="2">
        <v>6</v>
      </c>
      <c r="X31" s="2">
        <v>30</v>
      </c>
      <c r="Y31" s="2">
        <f t="shared" si="15"/>
        <v>420</v>
      </c>
      <c r="Z31" s="1">
        <v>0</v>
      </c>
      <c r="AA31" s="1"/>
      <c r="AB31" s="1">
        <v>0</v>
      </c>
    </row>
    <row r="32" customHeight="1" spans="3:28">
      <c r="C32" s="1">
        <v>27</v>
      </c>
      <c r="D32" s="1">
        <v>27</v>
      </c>
      <c r="E32" s="1">
        <v>1</v>
      </c>
      <c r="F32" s="1" t="s">
        <v>57</v>
      </c>
      <c r="G32" s="1">
        <v>27</v>
      </c>
      <c r="H32" s="1">
        <f t="shared" si="6"/>
        <v>103680</v>
      </c>
      <c r="I32" s="1">
        <f t="shared" si="7"/>
        <v>5184</v>
      </c>
      <c r="J32" s="1">
        <f t="shared" si="10"/>
        <v>7776000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0</v>
      </c>
      <c r="P32" s="2">
        <f t="shared" si="16"/>
        <v>75</v>
      </c>
      <c r="Q32" s="4">
        <v>27</v>
      </c>
      <c r="R32" s="1">
        <f t="shared" si="4"/>
        <v>360</v>
      </c>
      <c r="S32" s="1">
        <f t="shared" si="5"/>
        <v>360</v>
      </c>
      <c r="T32" s="1">
        <v>36</v>
      </c>
      <c r="U32" s="1">
        <v>27</v>
      </c>
      <c r="V32" s="2">
        <f t="shared" si="14"/>
        <v>640</v>
      </c>
      <c r="W32" s="2">
        <v>6</v>
      </c>
      <c r="X32" s="2">
        <v>30</v>
      </c>
      <c r="Y32" s="2">
        <f t="shared" si="15"/>
        <v>450</v>
      </c>
      <c r="Z32" s="1">
        <v>0</v>
      </c>
      <c r="AA32" s="1"/>
      <c r="AB32" s="1">
        <v>0</v>
      </c>
    </row>
    <row r="33" customHeight="1" spans="1:28">
      <c r="C33" s="1">
        <v>28</v>
      </c>
      <c r="D33" s="1">
        <v>28</v>
      </c>
      <c r="E33" s="1">
        <v>1</v>
      </c>
      <c r="F33" s="1" t="s">
        <v>58</v>
      </c>
      <c r="G33" s="1">
        <v>28</v>
      </c>
      <c r="H33" s="1">
        <f t="shared" si="6"/>
        <v>114240</v>
      </c>
      <c r="I33" s="1">
        <f t="shared" si="7"/>
        <v>5712</v>
      </c>
      <c r="J33" s="1">
        <f t="shared" si="10"/>
        <v>9139200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0</v>
      </c>
      <c r="P33" s="2">
        <f t="shared" si="16"/>
        <v>80</v>
      </c>
      <c r="Q33" s="4">
        <v>28</v>
      </c>
      <c r="R33" s="1">
        <f t="shared" si="4"/>
        <v>370</v>
      </c>
      <c r="S33" s="1">
        <f t="shared" si="5"/>
        <v>370</v>
      </c>
      <c r="T33" s="1">
        <v>37</v>
      </c>
      <c r="U33" s="1">
        <v>28</v>
      </c>
      <c r="V33" s="2">
        <f t="shared" si="14"/>
        <v>680</v>
      </c>
      <c r="W33" s="2">
        <v>6</v>
      </c>
      <c r="X33" s="2">
        <v>30</v>
      </c>
      <c r="Y33" s="2">
        <f t="shared" si="15"/>
        <v>480</v>
      </c>
      <c r="Z33" s="1">
        <v>0</v>
      </c>
      <c r="AA33" s="1"/>
      <c r="AB33" s="1">
        <v>0</v>
      </c>
    </row>
    <row r="34" customHeight="1" spans="1:28">
      <c r="C34" s="1">
        <v>29</v>
      </c>
      <c r="D34" s="1">
        <v>29</v>
      </c>
      <c r="E34" s="1">
        <v>1</v>
      </c>
      <c r="F34" s="1" t="s">
        <v>59</v>
      </c>
      <c r="G34" s="1">
        <v>29</v>
      </c>
      <c r="H34" s="1">
        <f t="shared" si="6"/>
        <v>125280</v>
      </c>
      <c r="I34" s="1">
        <f t="shared" si="7"/>
        <v>6264</v>
      </c>
      <c r="J34" s="1">
        <f t="shared" si="10"/>
        <v>10648800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0</v>
      </c>
      <c r="P34" s="2">
        <f t="shared" si="16"/>
        <v>85</v>
      </c>
      <c r="Q34" s="4">
        <v>29</v>
      </c>
      <c r="R34" s="1">
        <f t="shared" si="4"/>
        <v>380</v>
      </c>
      <c r="S34" s="1">
        <f t="shared" si="5"/>
        <v>380</v>
      </c>
      <c r="T34" s="1">
        <v>38</v>
      </c>
      <c r="U34" s="1">
        <v>29</v>
      </c>
      <c r="V34" s="2">
        <f t="shared" si="14"/>
        <v>720</v>
      </c>
      <c r="W34" s="2">
        <v>6</v>
      </c>
      <c r="X34" s="2">
        <v>30</v>
      </c>
      <c r="Y34" s="2">
        <f t="shared" si="15"/>
        <v>510</v>
      </c>
      <c r="Z34" s="1">
        <v>0</v>
      </c>
      <c r="AA34" s="1"/>
      <c r="AB34" s="1">
        <v>0</v>
      </c>
    </row>
    <row r="35" customHeight="1" spans="1:28">
      <c r="C35" s="1">
        <v>30</v>
      </c>
      <c r="D35" s="1">
        <v>30</v>
      </c>
      <c r="E35" s="1">
        <v>1</v>
      </c>
      <c r="F35" s="1" t="s">
        <v>60</v>
      </c>
      <c r="G35" s="1">
        <v>30</v>
      </c>
      <c r="H35" s="1">
        <f t="shared" si="6"/>
        <v>136800</v>
      </c>
      <c r="I35" s="1">
        <f t="shared" si="7"/>
        <v>6840</v>
      </c>
      <c r="J35" s="1">
        <f t="shared" si="10"/>
        <v>12312000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0</v>
      </c>
      <c r="P35" s="2">
        <f t="shared" si="16"/>
        <v>90</v>
      </c>
      <c r="Q35" s="4">
        <v>30</v>
      </c>
      <c r="R35" s="1">
        <f t="shared" si="4"/>
        <v>390</v>
      </c>
      <c r="S35" s="1">
        <f t="shared" si="5"/>
        <v>390</v>
      </c>
      <c r="T35" s="1">
        <v>39</v>
      </c>
      <c r="U35" s="1">
        <v>30</v>
      </c>
      <c r="V35" s="2">
        <f t="shared" si="14"/>
        <v>760</v>
      </c>
      <c r="W35" s="2">
        <v>6</v>
      </c>
      <c r="X35" s="2">
        <v>30</v>
      </c>
      <c r="Y35" s="2">
        <f t="shared" si="15"/>
        <v>540</v>
      </c>
      <c r="Z35" s="1">
        <v>0</v>
      </c>
      <c r="AA35" s="1"/>
      <c r="AB35" s="1">
        <v>0</v>
      </c>
    </row>
    <row r="36" customHeight="1" spans="1:28">
      <c r="C36" s="1">
        <v>31</v>
      </c>
      <c r="D36" s="1">
        <v>31</v>
      </c>
      <c r="E36" s="1">
        <v>1</v>
      </c>
      <c r="F36" s="1" t="s">
        <v>61</v>
      </c>
      <c r="G36" s="1">
        <v>31</v>
      </c>
      <c r="H36" s="1">
        <f t="shared" si="6"/>
        <v>173600</v>
      </c>
      <c r="I36" s="1">
        <f t="shared" si="7"/>
        <v>8680</v>
      </c>
      <c r="J36" s="1">
        <f t="shared" si="10"/>
        <v>14136000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0</v>
      </c>
      <c r="P36" s="2">
        <f t="shared" si="16"/>
        <v>95</v>
      </c>
      <c r="Q36" s="4">
        <v>31</v>
      </c>
      <c r="R36" s="1">
        <f t="shared" si="4"/>
        <v>400</v>
      </c>
      <c r="S36" s="1">
        <f t="shared" si="5"/>
        <v>400</v>
      </c>
      <c r="T36" s="1">
        <v>40</v>
      </c>
      <c r="U36" s="1">
        <v>31</v>
      </c>
      <c r="V36" s="2">
        <f t="shared" si="14"/>
        <v>800</v>
      </c>
      <c r="W36" s="2">
        <v>7</v>
      </c>
      <c r="X36" s="2">
        <v>35</v>
      </c>
      <c r="Y36" s="2">
        <f t="shared" si="15"/>
        <v>570</v>
      </c>
      <c r="Z36" s="1">
        <v>0</v>
      </c>
      <c r="AA36" s="1"/>
      <c r="AB36" s="1">
        <v>0</v>
      </c>
    </row>
    <row r="37" customHeight="1" spans="1:28">
      <c r="C37" s="1">
        <v>32</v>
      </c>
      <c r="D37" s="1">
        <v>32</v>
      </c>
      <c r="E37" s="1">
        <v>1</v>
      </c>
      <c r="F37" s="1" t="s">
        <v>62</v>
      </c>
      <c r="G37" s="1">
        <v>32</v>
      </c>
      <c r="H37" s="1">
        <f t="shared" si="6"/>
        <v>197120</v>
      </c>
      <c r="I37" s="1">
        <f t="shared" si="7"/>
        <v>9856</v>
      </c>
      <c r="J37" s="1">
        <f t="shared" si="10"/>
        <v>16896000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0</v>
      </c>
      <c r="P37" s="2">
        <f t="shared" si="16"/>
        <v>100</v>
      </c>
      <c r="Q37" s="4">
        <v>32</v>
      </c>
      <c r="R37" s="1">
        <f t="shared" si="4"/>
        <v>410</v>
      </c>
      <c r="S37" s="1">
        <f t="shared" si="5"/>
        <v>410</v>
      </c>
      <c r="T37" s="1">
        <v>41</v>
      </c>
      <c r="U37" s="1">
        <v>32</v>
      </c>
      <c r="V37" s="2">
        <f t="shared" ref="V37:V45" si="17">V36+80</f>
        <v>880</v>
      </c>
      <c r="W37" s="2">
        <v>7</v>
      </c>
      <c r="X37" s="2">
        <v>35</v>
      </c>
      <c r="Y37" s="2">
        <f t="shared" si="15"/>
        <v>600</v>
      </c>
      <c r="Z37" s="1">
        <v>0</v>
      </c>
      <c r="AA37" s="1"/>
      <c r="AB37" s="1">
        <v>0</v>
      </c>
    </row>
    <row r="38" customHeight="1" spans="1:28">
      <c r="C38" s="1">
        <v>33</v>
      </c>
      <c r="D38" s="1">
        <v>33</v>
      </c>
      <c r="E38" s="1">
        <v>1</v>
      </c>
      <c r="F38" s="1" t="s">
        <v>63</v>
      </c>
      <c r="G38" s="1">
        <v>33</v>
      </c>
      <c r="H38" s="1">
        <f t="shared" si="6"/>
        <v>221760</v>
      </c>
      <c r="I38" s="1">
        <f t="shared" si="7"/>
        <v>11088</v>
      </c>
      <c r="J38" s="1">
        <f t="shared" si="10"/>
        <v>20908800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0</v>
      </c>
      <c r="P38" s="2">
        <f t="shared" si="16"/>
        <v>105</v>
      </c>
      <c r="Q38" s="4">
        <v>33</v>
      </c>
      <c r="R38" s="1">
        <f t="shared" si="4"/>
        <v>420</v>
      </c>
      <c r="S38" s="1">
        <f t="shared" si="5"/>
        <v>420</v>
      </c>
      <c r="T38" s="1">
        <v>42</v>
      </c>
      <c r="U38" s="1">
        <v>33</v>
      </c>
      <c r="V38" s="2">
        <f t="shared" si="17"/>
        <v>960</v>
      </c>
      <c r="W38" s="2">
        <v>7</v>
      </c>
      <c r="X38" s="2">
        <v>35</v>
      </c>
      <c r="Y38" s="2">
        <f t="shared" ref="Y38:Y45" si="18">Y37+60</f>
        <v>660</v>
      </c>
      <c r="Z38" s="1">
        <v>0</v>
      </c>
      <c r="AA38" s="1"/>
      <c r="AB38" s="1">
        <v>0</v>
      </c>
    </row>
    <row r="39" customHeight="1" spans="1:28">
      <c r="C39" s="1">
        <v>34</v>
      </c>
      <c r="D39" s="1">
        <v>34</v>
      </c>
      <c r="E39" s="1">
        <v>1</v>
      </c>
      <c r="F39" s="1" t="s">
        <v>64</v>
      </c>
      <c r="G39" s="1">
        <v>34</v>
      </c>
      <c r="H39" s="1">
        <f t="shared" si="6"/>
        <v>247520</v>
      </c>
      <c r="I39" s="1">
        <f t="shared" si="7"/>
        <v>12376</v>
      </c>
      <c r="J39" s="1">
        <f t="shared" si="10"/>
        <v>25459200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0</v>
      </c>
      <c r="P39" s="2">
        <f t="shared" si="16"/>
        <v>110</v>
      </c>
      <c r="Q39" s="4">
        <v>34</v>
      </c>
      <c r="R39" s="1">
        <f t="shared" si="4"/>
        <v>430</v>
      </c>
      <c r="S39" s="1">
        <f t="shared" si="5"/>
        <v>430</v>
      </c>
      <c r="T39" s="1">
        <v>43</v>
      </c>
      <c r="U39" s="1">
        <v>34</v>
      </c>
      <c r="V39" s="2">
        <f t="shared" si="17"/>
        <v>1040</v>
      </c>
      <c r="W39" s="2">
        <v>7</v>
      </c>
      <c r="X39" s="2">
        <v>35</v>
      </c>
      <c r="Y39" s="2">
        <f t="shared" si="18"/>
        <v>720</v>
      </c>
      <c r="Z39" s="1">
        <v>0</v>
      </c>
      <c r="AA39" s="1"/>
      <c r="AB39" s="1">
        <v>0</v>
      </c>
    </row>
    <row r="40" customHeight="1" spans="1:28">
      <c r="C40" s="1">
        <v>35</v>
      </c>
      <c r="D40" s="1">
        <v>35</v>
      </c>
      <c r="E40" s="1">
        <v>1</v>
      </c>
      <c r="F40" s="1" t="s">
        <v>65</v>
      </c>
      <c r="G40" s="1">
        <v>35</v>
      </c>
      <c r="H40" s="1">
        <f t="shared" si="6"/>
        <v>274400</v>
      </c>
      <c r="I40" s="1">
        <f t="shared" si="7"/>
        <v>13720</v>
      </c>
      <c r="J40" s="1">
        <f t="shared" si="10"/>
        <v>30576000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0</v>
      </c>
      <c r="P40" s="2">
        <f t="shared" si="16"/>
        <v>115</v>
      </c>
      <c r="Q40" s="4">
        <v>35</v>
      </c>
      <c r="R40" s="1">
        <f t="shared" si="4"/>
        <v>440</v>
      </c>
      <c r="S40" s="1">
        <f t="shared" si="5"/>
        <v>440</v>
      </c>
      <c r="T40" s="1">
        <v>44</v>
      </c>
      <c r="U40" s="1">
        <v>35</v>
      </c>
      <c r="V40" s="2">
        <f t="shared" si="17"/>
        <v>1120</v>
      </c>
      <c r="W40" s="2">
        <v>7</v>
      </c>
      <c r="X40" s="2">
        <v>35</v>
      </c>
      <c r="Y40" s="2">
        <f t="shared" si="18"/>
        <v>780</v>
      </c>
      <c r="Z40" s="1">
        <v>0</v>
      </c>
      <c r="AA40" s="1"/>
      <c r="AB40" s="1">
        <v>0</v>
      </c>
    </row>
    <row r="41" s="1" customFormat="1" customHeight="1" spans="1:28">
      <c r="A41" s="2"/>
      <c r="C41" s="1">
        <v>36</v>
      </c>
      <c r="D41" s="1">
        <v>36</v>
      </c>
      <c r="E41" s="1">
        <v>2</v>
      </c>
      <c r="F41" s="1" t="s">
        <v>66</v>
      </c>
      <c r="G41" s="1">
        <v>1</v>
      </c>
      <c r="H41" s="1">
        <f t="shared" si="6"/>
        <v>345600</v>
      </c>
      <c r="I41" s="1">
        <f t="shared" si="7"/>
        <v>17280</v>
      </c>
      <c r="J41" s="1">
        <f t="shared" si="10"/>
        <v>36288000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0</v>
      </c>
      <c r="P41" s="2">
        <f t="shared" si="16"/>
        <v>120</v>
      </c>
      <c r="Q41" s="4">
        <v>36</v>
      </c>
      <c r="R41" s="1">
        <f t="shared" si="4"/>
        <v>450</v>
      </c>
      <c r="S41" s="1">
        <f t="shared" si="5"/>
        <v>450</v>
      </c>
      <c r="T41" s="1">
        <v>45</v>
      </c>
      <c r="U41" s="1">
        <v>36</v>
      </c>
      <c r="V41" s="2">
        <f t="shared" si="17"/>
        <v>1200</v>
      </c>
      <c r="W41" s="2">
        <v>8</v>
      </c>
      <c r="X41" s="2">
        <v>40</v>
      </c>
      <c r="Y41" s="2">
        <f t="shared" si="18"/>
        <v>840</v>
      </c>
      <c r="Z41" s="1">
        <v>0</v>
      </c>
      <c r="AB41" s="1">
        <v>0</v>
      </c>
    </row>
    <row r="42" s="1" customFormat="1" customHeight="1" spans="1:28">
      <c r="A42" s="2"/>
      <c r="C42" s="1">
        <v>37</v>
      </c>
      <c r="D42" s="1">
        <v>37</v>
      </c>
      <c r="E42" s="1">
        <v>2</v>
      </c>
      <c r="F42" s="1" t="s">
        <v>67</v>
      </c>
      <c r="G42" s="1">
        <v>2</v>
      </c>
      <c r="H42" s="1">
        <f t="shared" si="6"/>
        <v>378880</v>
      </c>
      <c r="I42" s="1">
        <f t="shared" si="7"/>
        <v>18944</v>
      </c>
      <c r="J42" s="1">
        <f t="shared" si="10"/>
        <v>42624000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0</v>
      </c>
      <c r="P42" s="2">
        <f t="shared" si="16"/>
        <v>125</v>
      </c>
      <c r="Q42" s="4">
        <v>37</v>
      </c>
      <c r="R42" s="1">
        <f t="shared" si="4"/>
        <v>460</v>
      </c>
      <c r="S42" s="1">
        <f t="shared" si="5"/>
        <v>460</v>
      </c>
      <c r="T42" s="1">
        <v>46</v>
      </c>
      <c r="U42" s="1">
        <v>37</v>
      </c>
      <c r="V42" s="2">
        <f t="shared" si="17"/>
        <v>1280</v>
      </c>
      <c r="W42" s="2">
        <v>8</v>
      </c>
      <c r="X42" s="2">
        <v>40</v>
      </c>
      <c r="Y42" s="2">
        <f t="shared" si="18"/>
        <v>900</v>
      </c>
      <c r="Z42" s="1">
        <v>0</v>
      </c>
      <c r="AB42" s="1">
        <v>0</v>
      </c>
    </row>
    <row r="43" s="1" customFormat="1" customHeight="1" spans="1:28">
      <c r="A43" s="2"/>
      <c r="C43" s="1">
        <v>38</v>
      </c>
      <c r="D43" s="1">
        <v>38</v>
      </c>
      <c r="E43" s="1">
        <v>2</v>
      </c>
      <c r="F43" s="1" t="s">
        <v>68</v>
      </c>
      <c r="G43" s="1">
        <v>3</v>
      </c>
      <c r="H43" s="1">
        <f t="shared" si="6"/>
        <v>413440</v>
      </c>
      <c r="I43" s="1">
        <f t="shared" si="7"/>
        <v>20672</v>
      </c>
      <c r="J43" s="1">
        <f t="shared" si="10"/>
        <v>49612800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0</v>
      </c>
      <c r="P43" s="2">
        <f t="shared" si="16"/>
        <v>130</v>
      </c>
      <c r="Q43" s="4">
        <v>38</v>
      </c>
      <c r="R43" s="1">
        <f t="shared" si="4"/>
        <v>470</v>
      </c>
      <c r="S43" s="1">
        <f t="shared" si="5"/>
        <v>470</v>
      </c>
      <c r="T43" s="1">
        <v>47</v>
      </c>
      <c r="U43" s="1">
        <v>38</v>
      </c>
      <c r="V43" s="2">
        <f t="shared" si="17"/>
        <v>1360</v>
      </c>
      <c r="W43" s="2">
        <v>8</v>
      </c>
      <c r="X43" s="2">
        <v>40</v>
      </c>
      <c r="Y43" s="2">
        <f t="shared" si="18"/>
        <v>960</v>
      </c>
      <c r="Z43" s="1">
        <v>0</v>
      </c>
      <c r="AB43" s="1">
        <v>0</v>
      </c>
    </row>
    <row r="44" s="1" customFormat="1" customHeight="1" spans="1:28">
      <c r="A44" s="2"/>
      <c r="C44" s="1">
        <v>39</v>
      </c>
      <c r="D44" s="1">
        <v>39</v>
      </c>
      <c r="E44" s="1">
        <v>2</v>
      </c>
      <c r="F44" s="1" t="s">
        <v>69</v>
      </c>
      <c r="G44" s="1">
        <v>4</v>
      </c>
      <c r="H44" s="1">
        <f t="shared" si="6"/>
        <v>449280</v>
      </c>
      <c r="I44" s="1">
        <f t="shared" si="7"/>
        <v>22464</v>
      </c>
      <c r="J44" s="1">
        <f t="shared" si="10"/>
        <v>57283200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0</v>
      </c>
      <c r="P44" s="2">
        <f t="shared" si="16"/>
        <v>135</v>
      </c>
      <c r="Q44" s="4">
        <v>39</v>
      </c>
      <c r="R44" s="1">
        <f t="shared" si="4"/>
        <v>480</v>
      </c>
      <c r="S44" s="1">
        <f t="shared" si="5"/>
        <v>480</v>
      </c>
      <c r="T44" s="1">
        <v>48</v>
      </c>
      <c r="U44" s="1">
        <v>39</v>
      </c>
      <c r="V44" s="2">
        <f t="shared" si="17"/>
        <v>1440</v>
      </c>
      <c r="W44" s="2">
        <v>8</v>
      </c>
      <c r="X44" s="2">
        <v>40</v>
      </c>
      <c r="Y44" s="2">
        <f t="shared" si="18"/>
        <v>1020</v>
      </c>
      <c r="Z44" s="1">
        <v>0</v>
      </c>
      <c r="AB44" s="1">
        <v>0</v>
      </c>
    </row>
    <row r="45" s="1" customFormat="1" customHeight="1" spans="1:28">
      <c r="A45" s="2"/>
      <c r="C45" s="1">
        <v>40</v>
      </c>
      <c r="D45" s="1">
        <v>40</v>
      </c>
      <c r="E45" s="1">
        <v>2</v>
      </c>
      <c r="F45" s="1" t="s">
        <v>70</v>
      </c>
      <c r="G45" s="1">
        <v>5</v>
      </c>
      <c r="H45" s="1">
        <f t="shared" si="6"/>
        <v>486400</v>
      </c>
      <c r="I45" s="1">
        <f t="shared" si="7"/>
        <v>24320</v>
      </c>
      <c r="J45" s="1">
        <f t="shared" si="10"/>
        <v>65664000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0</v>
      </c>
      <c r="P45" s="2">
        <f t="shared" si="16"/>
        <v>140</v>
      </c>
      <c r="Q45" s="4">
        <v>40</v>
      </c>
      <c r="R45" s="1">
        <f t="shared" si="4"/>
        <v>490</v>
      </c>
      <c r="S45" s="1">
        <f t="shared" si="5"/>
        <v>490</v>
      </c>
      <c r="T45" s="1">
        <v>49</v>
      </c>
      <c r="U45" s="1">
        <v>40</v>
      </c>
      <c r="V45" s="2">
        <f t="shared" si="17"/>
        <v>1520</v>
      </c>
      <c r="W45" s="2">
        <v>8</v>
      </c>
      <c r="X45" s="2">
        <v>40</v>
      </c>
      <c r="Y45" s="2">
        <f t="shared" si="18"/>
        <v>1080</v>
      </c>
      <c r="Z45" s="1">
        <v>0</v>
      </c>
      <c r="AB45" s="1">
        <v>0</v>
      </c>
    </row>
    <row r="46" s="1" customFormat="1" customHeight="1" spans="1:28">
      <c r="A46" s="2"/>
      <c r="P46" s="4"/>
      <c r="Q46" s="4"/>
      <c r="R46" s="1"/>
      <c r="S46" s="1"/>
      <c r="T46" s="1"/>
      <c r="U46" s="1"/>
      <c r="V46" s="2"/>
      <c r="W46" s="2"/>
      <c r="X46" s="2"/>
      <c r="Y46" s="2"/>
    </row>
  </sheetData>
  <dataValidations count="1">
    <dataValidation type="custom" allowBlank="1" showErrorMessage="1" errorTitle="拒绝重复输入" error="当前输入的内容，与本区域的其他单元格内容重复。" sqref="C3:Q5 Z3:AB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2026-02-09T12:58:52Z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