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<sst xmlns="http://schemas.openxmlformats.org/spreadsheetml/2006/main" count="170" uniqueCount="107">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</sst>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1" workbookViewId="0">
      <selection activeCell="I23" sqref="I2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6">
        <v>0</v>
      </c>
      <c r="Q6" s="6">
        <v>0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6">
        <v>3</v>
      </c>
      <c r="Q8" s="2">
        <f t="shared" ref="Q8:Q45" si="6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v>700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6">
        <v>4</v>
      </c>
      <c r="Q9" s="2">
        <f t="shared" si="6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v>1200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6">
        <v>5</v>
      </c>
      <c r="Q10" s="2">
        <f t="shared" si="6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v>1900</v>
      </c>
      <c r="I11" s="1">
        <v>300</v>
      </c>
      <c r="J11" s="1">
        <v>20000</v>
      </c>
      <c r="K11" s="1">
        <f t="shared" si="0"/>
        <v>30</v>
      </c>
      <c r="L11" s="1">
        <f t="shared" si="1"/>
        <v>18</v>
      </c>
      <c r="M11" s="1">
        <f t="shared" si="2"/>
        <v>12</v>
      </c>
      <c r="N11" s="1">
        <f t="shared" si="3"/>
        <v>24</v>
      </c>
      <c r="O11" s="1">
        <v>5</v>
      </c>
      <c r="P11" s="6">
        <v>6</v>
      </c>
      <c r="Q11" s="2">
        <f t="shared" si="6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4"/>
        <v>60</v>
      </c>
      <c r="W11" s="1">
        <f t="shared" si="5"/>
        <v>60</v>
      </c>
      <c r="X11" s="1">
        <v>6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2">
        <v>3000</v>
      </c>
      <c r="I12" s="2">
        <v>490</v>
      </c>
      <c r="J12" s="2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6">
        <v>7</v>
      </c>
      <c r="Q12" s="2">
        <f t="shared" si="6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7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v>4500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6">
        <v>8</v>
      </c>
      <c r="Q13" s="2">
        <f t="shared" si="6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7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v>6500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6">
        <v>9</v>
      </c>
      <c r="Q14" s="2">
        <f t="shared" si="6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7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v>9000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6">
        <v>10</v>
      </c>
      <c r="Q15" s="2">
        <f t="shared" si="6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7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v>13000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6">
        <v>11</v>
      </c>
      <c r="Q16" s="2">
        <f t="shared" si="6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7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v>19000</v>
      </c>
      <c r="I17" s="1">
        <v>3600</v>
      </c>
      <c r="J17" s="1">
        <v>300000</v>
      </c>
      <c r="K17" s="1">
        <f t="shared" si="0"/>
        <v>60</v>
      </c>
      <c r="L17" s="1">
        <f t="shared" si="1"/>
        <v>36</v>
      </c>
      <c r="M17" s="1">
        <f t="shared" si="2"/>
        <v>24</v>
      </c>
      <c r="N17" s="1">
        <f t="shared" si="3"/>
        <v>48</v>
      </c>
      <c r="O17" s="1">
        <v>11</v>
      </c>
      <c r="P17" s="6">
        <v>12</v>
      </c>
      <c r="Q17" s="2">
        <f t="shared" si="6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4"/>
        <v>120</v>
      </c>
      <c r="W17" s="1">
        <f t="shared" si="5"/>
        <v>120</v>
      </c>
      <c r="X17" s="1">
        <v>12</v>
      </c>
      <c r="Y17" s="1">
        <v>12</v>
      </c>
      <c r="Z17" s="2">
        <f t="shared" ref="Z17:Z22" si="8">Z16+100</f>
        <v>500</v>
      </c>
      <c r="AA17" s="2">
        <v>17</v>
      </c>
      <c r="AB17" s="2">
        <v>11</v>
      </c>
      <c r="AC17" s="2">
        <f t="shared" si="7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v>27000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6">
        <v>13</v>
      </c>
      <c r="Q18" s="2">
        <f t="shared" si="6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2">
        <f t="shared" si="8"/>
        <v>600</v>
      </c>
      <c r="AA18" s="2">
        <v>19</v>
      </c>
      <c r="AB18" s="2">
        <v>12</v>
      </c>
      <c r="AC18" s="2">
        <f t="shared" si="7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v>34000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6">
        <v>14</v>
      </c>
      <c r="Q19" s="2">
        <f t="shared" si="6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2">
        <f t="shared" si="8"/>
        <v>700</v>
      </c>
      <c r="AA19" s="2">
        <v>23</v>
      </c>
      <c r="AB19" s="2">
        <v>13</v>
      </c>
      <c r="AC19" s="2">
        <f t="shared" si="7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v>42000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6">
        <v>15</v>
      </c>
      <c r="Q20" s="2">
        <f t="shared" si="6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2">
        <f t="shared" si="8"/>
        <v>800</v>
      </c>
      <c r="AA20" s="2">
        <v>29</v>
      </c>
      <c r="AB20" s="2">
        <v>14</v>
      </c>
      <c r="AC20" s="2">
        <f t="shared" si="7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v>51000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6">
        <v>16</v>
      </c>
      <c r="Q21" s="2">
        <f t="shared" si="6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2">
        <f t="shared" si="8"/>
        <v>900</v>
      </c>
      <c r="AA21" s="2">
        <v>31</v>
      </c>
      <c r="AB21" s="2">
        <v>15</v>
      </c>
      <c r="AC21" s="2">
        <f t="shared" si="7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v>61000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6">
        <v>17</v>
      </c>
      <c r="Q22" s="2">
        <f t="shared" si="6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2">
        <f t="shared" si="8"/>
        <v>1000</v>
      </c>
      <c r="AA22" s="2">
        <v>37</v>
      </c>
      <c r="AB22" s="2">
        <v>16</v>
      </c>
      <c r="AC22" s="2">
        <f t="shared" si="7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ref="H7:H70" si="9">AG25*Z23*AA23/10</f>
        <v>349320</v>
      </c>
      <c r="I23" s="1">
        <f t="shared" ref="I6:I69" si="10">AB23*AG21*Z23/10</f>
        <v>108120</v>
      </c>
      <c r="J23" s="1">
        <f t="shared" ref="J7:J72" si="11">Y23*Z23*AC23</f>
        <v>11923200</v>
      </c>
      <c r="K23" s="1">
        <f t="shared" si="0"/>
        <v>90</v>
      </c>
      <c r="L23" s="1">
        <f t="shared" si="1"/>
        <v>54</v>
      </c>
      <c r="M23" s="1">
        <f t="shared" si="2"/>
        <v>36</v>
      </c>
      <c r="N23" s="1">
        <f t="shared" si="3"/>
        <v>72</v>
      </c>
      <c r="O23" s="1">
        <v>17</v>
      </c>
      <c r="P23" s="6">
        <v>18</v>
      </c>
      <c r="Q23" s="2">
        <f t="shared" si="6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4"/>
        <v>180</v>
      </c>
      <c r="W23" s="1">
        <f t="shared" si="5"/>
        <v>180</v>
      </c>
      <c r="X23" s="1">
        <v>18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7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9"/>
        <v>439460</v>
      </c>
      <c r="I24" s="1">
        <f t="shared" si="10"/>
        <v>148680</v>
      </c>
      <c r="J24" s="1">
        <f t="shared" si="11"/>
        <v>16305800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6">
        <v>19</v>
      </c>
      <c r="Q24" s="2">
        <f t="shared" si="6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7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9"/>
        <v>594080</v>
      </c>
      <c r="I25" s="1">
        <f t="shared" si="10"/>
        <v>185440</v>
      </c>
      <c r="J25" s="1">
        <f t="shared" si="11"/>
        <v>21760000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6">
        <v>20</v>
      </c>
      <c r="Q25" s="2">
        <f t="shared" si="6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7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9"/>
        <v>791820</v>
      </c>
      <c r="I26" s="1">
        <f t="shared" si="10"/>
        <v>241200</v>
      </c>
      <c r="J26" s="1">
        <f t="shared" si="11"/>
        <v>28387800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6">
        <v>21</v>
      </c>
      <c r="Q26" s="2">
        <f t="shared" si="6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7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9"/>
        <v>1050200</v>
      </c>
      <c r="I27" s="1">
        <f t="shared" si="10"/>
        <v>298200</v>
      </c>
      <c r="J27" s="1">
        <f t="shared" si="11"/>
        <v>36256000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6">
        <v>22</v>
      </c>
      <c r="Q27" s="2">
        <f t="shared" si="6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7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9"/>
        <v>1479250</v>
      </c>
      <c r="I28" s="1">
        <f t="shared" si="10"/>
        <v>401500</v>
      </c>
      <c r="J28" s="1">
        <f t="shared" si="11"/>
        <v>51922500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6">
        <v>23</v>
      </c>
      <c r="Q28" s="2">
        <f t="shared" ref="Q28:Q77" si="12">Q27+3</f>
        <v>53</v>
      </c>
      <c r="R28" s="1">
        <v>0</v>
      </c>
      <c r="S28" s="1">
        <v>0</v>
      </c>
      <c r="T28" s="6">
        <v>0</v>
      </c>
      <c r="U28" s="6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2">
        <f t="shared" ref="Z28:Z33" si="13">Z27+500</f>
        <v>2500</v>
      </c>
      <c r="AA28" s="2">
        <v>61</v>
      </c>
      <c r="AB28" s="2">
        <v>22</v>
      </c>
      <c r="AC28" s="2">
        <f t="shared" si="7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9"/>
        <v>2030100</v>
      </c>
      <c r="I29" s="1">
        <f t="shared" si="10"/>
        <v>545100</v>
      </c>
      <c r="J29" s="1">
        <f t="shared" si="11"/>
        <v>70992000</v>
      </c>
      <c r="K29" s="1">
        <f t="shared" si="0"/>
        <v>120</v>
      </c>
      <c r="L29" s="1">
        <f t="shared" si="1"/>
        <v>72</v>
      </c>
      <c r="M29" s="1">
        <f t="shared" si="2"/>
        <v>48</v>
      </c>
      <c r="N29" s="1">
        <f t="shared" si="3"/>
        <v>96</v>
      </c>
      <c r="O29" s="1">
        <v>23</v>
      </c>
      <c r="P29" s="6">
        <v>24</v>
      </c>
      <c r="Q29" s="2">
        <f t="shared" si="12"/>
        <v>56</v>
      </c>
      <c r="R29" s="1">
        <v>0</v>
      </c>
      <c r="S29" s="1">
        <v>0</v>
      </c>
      <c r="T29" s="6">
        <v>0</v>
      </c>
      <c r="U29" s="6">
        <v>0</v>
      </c>
      <c r="V29" s="1">
        <f t="shared" si="4"/>
        <v>240</v>
      </c>
      <c r="W29" s="1">
        <f t="shared" si="5"/>
        <v>240</v>
      </c>
      <c r="X29" s="1">
        <v>24</v>
      </c>
      <c r="Y29" s="1">
        <v>24</v>
      </c>
      <c r="Z29" s="2">
        <f t="shared" si="13"/>
        <v>3000</v>
      </c>
      <c r="AA29" s="2">
        <v>67</v>
      </c>
      <c r="AB29" s="2">
        <v>23</v>
      </c>
      <c r="AC29" s="2">
        <f t="shared" si="7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9"/>
        <v>2559550</v>
      </c>
      <c r="I30" s="1">
        <f t="shared" si="10"/>
        <v>697200</v>
      </c>
      <c r="J30" s="1">
        <f t="shared" si="11"/>
        <v>94062500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6">
        <v>25</v>
      </c>
      <c r="Q30" s="2">
        <f t="shared" si="12"/>
        <v>59</v>
      </c>
      <c r="R30" s="1">
        <v>0</v>
      </c>
      <c r="S30" s="1">
        <v>0</v>
      </c>
      <c r="T30" s="6">
        <v>0</v>
      </c>
      <c r="U30" s="6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2">
        <f t="shared" si="13"/>
        <v>3500</v>
      </c>
      <c r="AA30" s="2">
        <v>71</v>
      </c>
      <c r="AB30" s="2">
        <v>24</v>
      </c>
      <c r="AC30" s="2">
        <f t="shared" si="7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9"/>
        <v>3124400</v>
      </c>
      <c r="I31" s="1">
        <f t="shared" si="10"/>
        <v>890000</v>
      </c>
      <c r="J31" s="1">
        <f t="shared" si="11"/>
        <v>121888000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6">
        <v>26</v>
      </c>
      <c r="Q31" s="2">
        <f t="shared" si="12"/>
        <v>62</v>
      </c>
      <c r="R31" s="1">
        <v>0</v>
      </c>
      <c r="S31" s="1">
        <v>0</v>
      </c>
      <c r="T31" s="6">
        <v>0</v>
      </c>
      <c r="U31" s="6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2">
        <f t="shared" si="13"/>
        <v>4000</v>
      </c>
      <c r="AA31" s="2">
        <v>73</v>
      </c>
      <c r="AB31" s="2">
        <v>25</v>
      </c>
      <c r="AC31" s="2">
        <f t="shared" si="7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9"/>
        <v>3874950</v>
      </c>
      <c r="I32" s="1">
        <f t="shared" si="10"/>
        <v>1134900</v>
      </c>
      <c r="J32" s="1">
        <f t="shared" si="11"/>
        <v>154669500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6">
        <v>27</v>
      </c>
      <c r="Q32" s="2">
        <f t="shared" si="12"/>
        <v>65</v>
      </c>
      <c r="R32" s="1">
        <v>0</v>
      </c>
      <c r="S32" s="1">
        <v>0</v>
      </c>
      <c r="T32" s="6">
        <v>0</v>
      </c>
      <c r="U32" s="6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2">
        <f t="shared" si="13"/>
        <v>4500</v>
      </c>
      <c r="AA32" s="2">
        <v>79</v>
      </c>
      <c r="AB32" s="2">
        <v>26</v>
      </c>
      <c r="AC32" s="2">
        <f t="shared" si="7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9"/>
        <v>4689500</v>
      </c>
      <c r="I33" s="1">
        <f t="shared" si="10"/>
        <v>1363500</v>
      </c>
      <c r="J33" s="1">
        <f t="shared" si="11"/>
        <v>192640000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6">
        <v>28</v>
      </c>
      <c r="Q33" s="2">
        <f t="shared" si="12"/>
        <v>68</v>
      </c>
      <c r="R33" s="1">
        <v>0</v>
      </c>
      <c r="S33" s="1">
        <v>0</v>
      </c>
      <c r="T33" s="6">
        <v>0</v>
      </c>
      <c r="U33" s="6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2">
        <f t="shared" si="13"/>
        <v>5000</v>
      </c>
      <c r="AA33" s="2">
        <v>83</v>
      </c>
      <c r="AB33" s="2">
        <v>27</v>
      </c>
      <c r="AC33" s="2">
        <f t="shared" si="7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9"/>
        <v>6781800</v>
      </c>
      <c r="I34" s="1">
        <f t="shared" si="10"/>
        <v>1730400</v>
      </c>
      <c r="J34" s="1">
        <f t="shared" si="11"/>
        <v>258042000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6">
        <v>29</v>
      </c>
      <c r="Q34" s="2">
        <f t="shared" si="12"/>
        <v>71</v>
      </c>
      <c r="R34" s="1">
        <v>0</v>
      </c>
      <c r="S34" s="1">
        <v>0</v>
      </c>
      <c r="T34" s="6">
        <v>0</v>
      </c>
      <c r="U34" s="6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7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9"/>
        <v>8894900</v>
      </c>
      <c r="I35" s="1">
        <f t="shared" si="10"/>
        <v>2172100</v>
      </c>
      <c r="J35" s="1">
        <f t="shared" si="11"/>
        <v>334320000</v>
      </c>
      <c r="K35" s="1">
        <f t="shared" si="0"/>
        <v>150</v>
      </c>
      <c r="L35" s="1">
        <f t="shared" si="1"/>
        <v>90</v>
      </c>
      <c r="M35" s="1">
        <f t="shared" si="2"/>
        <v>60</v>
      </c>
      <c r="N35" s="1">
        <f t="shared" si="3"/>
        <v>120</v>
      </c>
      <c r="O35" s="1">
        <v>29</v>
      </c>
      <c r="P35" s="6">
        <v>30</v>
      </c>
      <c r="Q35" s="2">
        <f t="shared" si="12"/>
        <v>74</v>
      </c>
      <c r="R35" s="1">
        <v>0</v>
      </c>
      <c r="S35" s="1">
        <v>0</v>
      </c>
      <c r="T35" s="6">
        <v>0</v>
      </c>
      <c r="U35" s="6">
        <v>0</v>
      </c>
      <c r="V35" s="1">
        <f t="shared" si="4"/>
        <v>300</v>
      </c>
      <c r="W35" s="1">
        <f t="shared" si="5"/>
        <v>300</v>
      </c>
      <c r="X35" s="1">
        <v>30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7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9"/>
        <v>11069600</v>
      </c>
      <c r="I36" s="1">
        <f t="shared" si="10"/>
        <v>2616000</v>
      </c>
      <c r="J36" s="1">
        <f t="shared" si="11"/>
        <v>422840000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6">
        <v>31</v>
      </c>
      <c r="Q36" s="2">
        <f t="shared" si="12"/>
        <v>77</v>
      </c>
      <c r="R36" s="1">
        <v>0</v>
      </c>
      <c r="S36" s="1">
        <v>0</v>
      </c>
      <c r="T36" s="6">
        <v>0</v>
      </c>
      <c r="U36" s="6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7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9"/>
        <v>12885300</v>
      </c>
      <c r="I37" s="1">
        <f t="shared" si="10"/>
        <v>3152700</v>
      </c>
      <c r="J37" s="1">
        <f t="shared" si="11"/>
        <v>527616000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6">
        <v>32</v>
      </c>
      <c r="Q37" s="2">
        <f t="shared" si="12"/>
        <v>80</v>
      </c>
      <c r="R37" s="1">
        <v>0</v>
      </c>
      <c r="S37" s="1">
        <v>0</v>
      </c>
      <c r="T37" s="6">
        <v>0</v>
      </c>
      <c r="U37" s="6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7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9"/>
        <v>15943000</v>
      </c>
      <c r="I38" s="1">
        <f t="shared" si="10"/>
        <v>4064000</v>
      </c>
      <c r="J38" s="1">
        <f t="shared" si="11"/>
        <v>647790000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6">
        <v>33</v>
      </c>
      <c r="Q38" s="2">
        <f t="shared" si="12"/>
        <v>83</v>
      </c>
      <c r="R38" s="1">
        <v>0</v>
      </c>
      <c r="S38" s="1">
        <v>0</v>
      </c>
      <c r="T38" s="6">
        <v>0</v>
      </c>
      <c r="U38" s="6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7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9"/>
        <v>19750800</v>
      </c>
      <c r="I39" s="1">
        <f t="shared" si="10"/>
        <v>5187600</v>
      </c>
      <c r="J39" s="1">
        <f t="shared" si="11"/>
        <v>856800000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6">
        <v>34</v>
      </c>
      <c r="Q39" s="2">
        <f t="shared" si="12"/>
        <v>86</v>
      </c>
      <c r="R39" s="1">
        <v>0</v>
      </c>
      <c r="S39" s="1">
        <v>0</v>
      </c>
      <c r="T39" s="6">
        <v>0</v>
      </c>
      <c r="U39" s="6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7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9"/>
        <v>24837400</v>
      </c>
      <c r="I40" s="1">
        <f t="shared" si="10"/>
        <v>6521200</v>
      </c>
      <c r="J40" s="1">
        <f t="shared" si="11"/>
        <v>1097110000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6">
        <v>35</v>
      </c>
      <c r="Q40" s="2">
        <f t="shared" si="12"/>
        <v>89</v>
      </c>
      <c r="R40" s="1">
        <v>0</v>
      </c>
      <c r="S40" s="1">
        <v>0</v>
      </c>
      <c r="T40" s="6">
        <v>0</v>
      </c>
      <c r="U40" s="6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7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9"/>
        <v>33121600</v>
      </c>
      <c r="I41" s="1">
        <f t="shared" si="10"/>
        <v>7784000</v>
      </c>
      <c r="J41" s="1">
        <f t="shared" si="11"/>
        <v>1375488000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35</v>
      </c>
      <c r="P41" s="6">
        <v>36</v>
      </c>
      <c r="Q41" s="2">
        <f t="shared" si="12"/>
        <v>92</v>
      </c>
      <c r="R41" s="1">
        <v>0</v>
      </c>
      <c r="S41" s="1">
        <v>0</v>
      </c>
      <c r="T41" s="6">
        <v>0</v>
      </c>
      <c r="U41" s="6">
        <v>0</v>
      </c>
      <c r="V41" s="1">
        <f t="shared" si="4"/>
        <v>360</v>
      </c>
      <c r="W41" s="1">
        <f t="shared" si="5"/>
        <v>360</v>
      </c>
      <c r="X41" s="1">
        <v>36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7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9"/>
        <v>39378600</v>
      </c>
      <c r="I42" s="1">
        <f t="shared" si="10"/>
        <v>9655200</v>
      </c>
      <c r="J42" s="1">
        <f t="shared" si="11"/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6">
        <v>37</v>
      </c>
      <c r="Q42" s="2">
        <f t="shared" si="12"/>
        <v>95</v>
      </c>
      <c r="R42" s="1">
        <v>0</v>
      </c>
      <c r="S42" s="1">
        <v>0</v>
      </c>
      <c r="T42" s="6">
        <v>0</v>
      </c>
      <c r="U42" s="6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7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9"/>
        <v>47402000</v>
      </c>
      <c r="I43" s="1">
        <f t="shared" si="10"/>
        <v>11174000</v>
      </c>
      <c r="J43" s="1">
        <f t="shared" si="11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6">
        <v>38</v>
      </c>
      <c r="Q43" s="2">
        <f t="shared" si="12"/>
        <v>98</v>
      </c>
      <c r="R43" s="1">
        <v>0</v>
      </c>
      <c r="S43" s="1">
        <v>0</v>
      </c>
      <c r="T43" s="6">
        <v>0</v>
      </c>
      <c r="U43" s="6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7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9"/>
        <v>62202500</v>
      </c>
      <c r="I44" s="1">
        <f t="shared" si="10"/>
        <v>14915000</v>
      </c>
      <c r="J44" s="1">
        <f t="shared" si="11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6">
        <v>39</v>
      </c>
      <c r="Q44" s="2">
        <f t="shared" si="12"/>
        <v>101</v>
      </c>
      <c r="R44" s="1">
        <v>0</v>
      </c>
      <c r="S44" s="1">
        <v>0</v>
      </c>
      <c r="T44" s="6">
        <v>0</v>
      </c>
      <c r="U44" s="6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7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9"/>
        <v>80907000</v>
      </c>
      <c r="I45" s="1">
        <f t="shared" si="10"/>
        <v>19071000</v>
      </c>
      <c r="J45" s="1">
        <f t="shared" si="11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6">
        <v>40</v>
      </c>
      <c r="Q45" s="2">
        <f t="shared" si="12"/>
        <v>104</v>
      </c>
      <c r="R45" s="1">
        <v>0</v>
      </c>
      <c r="S45" s="1">
        <v>0</v>
      </c>
      <c r="T45" s="6">
        <v>0</v>
      </c>
      <c r="U45" s="6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7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9"/>
        <v>100943500</v>
      </c>
      <c r="I46" s="1">
        <f t="shared" si="10"/>
        <v>22795500</v>
      </c>
      <c r="J46" s="1">
        <f t="shared" si="11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6">
        <v>41</v>
      </c>
      <c r="Q46" s="2">
        <f t="shared" si="12"/>
        <v>107</v>
      </c>
      <c r="R46" s="1">
        <v>0</v>
      </c>
      <c r="S46" s="1">
        <v>0</v>
      </c>
      <c r="T46" s="6">
        <v>0</v>
      </c>
      <c r="U46" s="6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7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9"/>
        <v>116572000</v>
      </c>
      <c r="I47" s="1">
        <f t="shared" si="10"/>
        <v>26988000</v>
      </c>
      <c r="J47" s="1">
        <f t="shared" si="11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6">
        <v>42</v>
      </c>
      <c r="Q47" s="2">
        <f t="shared" si="12"/>
        <v>110</v>
      </c>
      <c r="R47" s="1">
        <v>0</v>
      </c>
      <c r="S47" s="1">
        <v>0</v>
      </c>
      <c r="T47" s="6">
        <v>0</v>
      </c>
      <c r="U47" s="6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7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9"/>
        <v>139180500</v>
      </c>
      <c r="I48" s="1">
        <f t="shared" si="10"/>
        <v>31414500</v>
      </c>
      <c r="J48" s="1">
        <f t="shared" si="11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6">
        <v>43</v>
      </c>
      <c r="Q48" s="2">
        <f t="shared" si="12"/>
        <v>113</v>
      </c>
      <c r="R48" s="1">
        <v>0</v>
      </c>
      <c r="S48" s="1">
        <v>0</v>
      </c>
      <c r="T48" s="6">
        <v>0</v>
      </c>
      <c r="U48" s="6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7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9"/>
        <v>172135000</v>
      </c>
      <c r="I49" s="1">
        <f t="shared" si="10"/>
        <v>35295000</v>
      </c>
      <c r="J49" s="1">
        <f t="shared" si="11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6">
        <v>44</v>
      </c>
      <c r="Q49" s="2">
        <f t="shared" si="12"/>
        <v>116</v>
      </c>
      <c r="R49" s="1">
        <v>0</v>
      </c>
      <c r="S49" s="1">
        <v>0</v>
      </c>
      <c r="T49" s="6">
        <v>0</v>
      </c>
      <c r="U49" s="6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7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9"/>
        <v>200766500</v>
      </c>
      <c r="I50" s="1">
        <f t="shared" si="10"/>
        <v>40969500</v>
      </c>
      <c r="J50" s="1">
        <f t="shared" si="11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6">
        <v>45</v>
      </c>
      <c r="Q50" s="2">
        <f t="shared" si="12"/>
        <v>119</v>
      </c>
      <c r="R50" s="1">
        <v>0</v>
      </c>
      <c r="S50" s="1">
        <v>0</v>
      </c>
      <c r="T50" s="6">
        <v>0</v>
      </c>
      <c r="U50" s="6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7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9"/>
        <v>231474000</v>
      </c>
      <c r="I51" s="1">
        <f t="shared" si="10"/>
        <v>45162000</v>
      </c>
      <c r="J51" s="1">
        <f t="shared" si="11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6">
        <v>46</v>
      </c>
      <c r="Q51" s="2">
        <f t="shared" si="12"/>
        <v>122</v>
      </c>
      <c r="R51" s="1">
        <v>0</v>
      </c>
      <c r="S51" s="1">
        <v>0</v>
      </c>
      <c r="T51" s="6">
        <v>0</v>
      </c>
      <c r="U51" s="6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7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9"/>
        <v>255261500</v>
      </c>
      <c r="I52" s="1">
        <f t="shared" si="10"/>
        <v>49939500</v>
      </c>
      <c r="J52" s="1">
        <f t="shared" si="11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6">
        <v>47</v>
      </c>
      <c r="Q52" s="2">
        <f t="shared" si="12"/>
        <v>125</v>
      </c>
      <c r="R52" s="1">
        <v>0</v>
      </c>
      <c r="S52" s="1">
        <v>0</v>
      </c>
      <c r="T52" s="6">
        <v>0</v>
      </c>
      <c r="U52" s="6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7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9"/>
        <v>277319000</v>
      </c>
      <c r="I53" s="1">
        <f t="shared" si="10"/>
        <v>54327000</v>
      </c>
      <c r="J53" s="1">
        <f t="shared" si="11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6">
        <v>48</v>
      </c>
      <c r="Q53" s="2">
        <f t="shared" si="12"/>
        <v>128</v>
      </c>
      <c r="R53" s="1">
        <v>0</v>
      </c>
      <c r="S53" s="1">
        <v>0</v>
      </c>
      <c r="T53" s="6">
        <v>0</v>
      </c>
      <c r="U53" s="6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7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9"/>
        <v>302317500</v>
      </c>
      <c r="I54" s="1">
        <f t="shared" si="10"/>
        <v>61717500</v>
      </c>
      <c r="J54" s="1">
        <f t="shared" si="11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6">
        <v>49</v>
      </c>
      <c r="Q54" s="2">
        <f t="shared" si="12"/>
        <v>131</v>
      </c>
      <c r="R54" s="1">
        <v>0</v>
      </c>
      <c r="S54" s="1">
        <v>0</v>
      </c>
      <c r="T54" s="6">
        <v>0</v>
      </c>
      <c r="U54" s="6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7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9"/>
        <v>330776000</v>
      </c>
      <c r="I55" s="1">
        <f t="shared" si="10"/>
        <v>69576000</v>
      </c>
      <c r="J55" s="1">
        <f t="shared" si="11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6">
        <v>50</v>
      </c>
      <c r="Q55" s="2">
        <f t="shared" si="12"/>
        <v>134</v>
      </c>
      <c r="R55" s="1">
        <v>0</v>
      </c>
      <c r="S55" s="1">
        <v>0</v>
      </c>
      <c r="T55" s="6">
        <v>0</v>
      </c>
      <c r="U55" s="6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7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9"/>
        <v>354390500</v>
      </c>
      <c r="I56" s="1">
        <f t="shared" si="10"/>
        <v>75250500</v>
      </c>
      <c r="J56" s="1">
        <f t="shared" si="11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6">
        <v>51</v>
      </c>
      <c r="Q56" s="2">
        <f t="shared" si="12"/>
        <v>137</v>
      </c>
      <c r="R56" s="1">
        <v>0</v>
      </c>
      <c r="S56" s="1">
        <v>0</v>
      </c>
      <c r="T56" s="6">
        <v>0</v>
      </c>
      <c r="U56" s="6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7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9"/>
        <v>390807000</v>
      </c>
      <c r="I57" s="1">
        <f t="shared" si="10"/>
        <v>80379000</v>
      </c>
      <c r="J57" s="1">
        <f t="shared" si="11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6">
        <v>52</v>
      </c>
      <c r="Q57" s="2">
        <f t="shared" si="12"/>
        <v>140</v>
      </c>
      <c r="R57" s="1">
        <v>0</v>
      </c>
      <c r="S57" s="1">
        <v>0</v>
      </c>
      <c r="T57" s="6">
        <v>0</v>
      </c>
      <c r="U57" s="6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7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9"/>
        <v>422379500</v>
      </c>
      <c r="I58" s="1">
        <f t="shared" si="10"/>
        <v>86326500</v>
      </c>
      <c r="J58" s="1">
        <f t="shared" si="11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6">
        <v>53</v>
      </c>
      <c r="Q58" s="2">
        <f t="shared" si="12"/>
        <v>143</v>
      </c>
      <c r="R58" s="1">
        <v>0</v>
      </c>
      <c r="S58" s="1">
        <v>0</v>
      </c>
      <c r="T58" s="6">
        <v>0</v>
      </c>
      <c r="U58" s="6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7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9"/>
        <v>454990000</v>
      </c>
      <c r="I59" s="1">
        <f t="shared" si="10"/>
        <v>93210000</v>
      </c>
      <c r="J59" s="1">
        <f t="shared" si="11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6">
        <v>54</v>
      </c>
      <c r="Q59" s="2">
        <f t="shared" si="12"/>
        <v>146</v>
      </c>
      <c r="R59" s="1">
        <v>0</v>
      </c>
      <c r="S59" s="1">
        <v>0</v>
      </c>
      <c r="T59" s="6">
        <v>0</v>
      </c>
      <c r="U59" s="6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7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9"/>
        <v>488638500</v>
      </c>
      <c r="I60" s="1">
        <f t="shared" si="10"/>
        <v>98689500</v>
      </c>
      <c r="J60" s="1">
        <f t="shared" si="11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6">
        <v>55</v>
      </c>
      <c r="Q60" s="2">
        <f t="shared" si="12"/>
        <v>149</v>
      </c>
      <c r="R60" s="1">
        <v>0</v>
      </c>
      <c r="S60" s="1">
        <v>0</v>
      </c>
      <c r="T60" s="6">
        <v>0</v>
      </c>
      <c r="U60" s="6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7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9"/>
        <v>515713000</v>
      </c>
      <c r="I61" s="1">
        <f t="shared" si="10"/>
        <v>107679000</v>
      </c>
      <c r="J61" s="1">
        <f t="shared" si="11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6">
        <v>56</v>
      </c>
      <c r="Q61" s="2">
        <f t="shared" si="12"/>
        <v>152</v>
      </c>
      <c r="R61" s="1">
        <v>0</v>
      </c>
      <c r="S61" s="1">
        <v>0</v>
      </c>
      <c r="T61" s="6">
        <v>0</v>
      </c>
      <c r="U61" s="6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7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9"/>
        <v>551091500</v>
      </c>
      <c r="I62" s="1">
        <f t="shared" si="10"/>
        <v>115264500</v>
      </c>
      <c r="J62" s="1">
        <f t="shared" si="11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6">
        <v>57</v>
      </c>
      <c r="Q62" s="2">
        <f t="shared" si="12"/>
        <v>155</v>
      </c>
      <c r="R62" s="1">
        <v>0</v>
      </c>
      <c r="S62" s="1">
        <v>0</v>
      </c>
      <c r="T62" s="6">
        <v>0</v>
      </c>
      <c r="U62" s="6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7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9"/>
        <v>583356000</v>
      </c>
      <c r="I63" s="1">
        <f t="shared" si="10"/>
        <v>123084000</v>
      </c>
      <c r="J63" s="1">
        <f t="shared" si="11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6">
        <v>58</v>
      </c>
      <c r="Q63" s="2">
        <f t="shared" si="12"/>
        <v>158</v>
      </c>
      <c r="R63" s="1">
        <v>0</v>
      </c>
      <c r="S63" s="1">
        <v>0</v>
      </c>
      <c r="T63" s="6">
        <v>0</v>
      </c>
      <c r="U63" s="6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7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9"/>
        <v>611987500</v>
      </c>
      <c r="I64" s="1">
        <f t="shared" si="10"/>
        <v>131137500</v>
      </c>
      <c r="J64" s="1">
        <f t="shared" si="11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6">
        <v>59</v>
      </c>
      <c r="Q64" s="2">
        <f t="shared" si="12"/>
        <v>161</v>
      </c>
      <c r="R64" s="1">
        <v>0</v>
      </c>
      <c r="S64" s="1">
        <v>0</v>
      </c>
      <c r="T64" s="6">
        <v>0</v>
      </c>
      <c r="U64" s="6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7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9"/>
        <v>658957000</v>
      </c>
      <c r="I65" s="1">
        <f t="shared" si="10"/>
        <v>137397000</v>
      </c>
      <c r="J65" s="1">
        <f t="shared" si="11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6">
        <v>60</v>
      </c>
      <c r="Q65" s="2">
        <f t="shared" si="12"/>
        <v>164</v>
      </c>
      <c r="R65" s="1">
        <v>0</v>
      </c>
      <c r="S65" s="1">
        <v>0</v>
      </c>
      <c r="T65" s="6">
        <v>0</v>
      </c>
      <c r="U65" s="6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7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9"/>
        <v>716998500</v>
      </c>
      <c r="I66" s="1">
        <f t="shared" si="10"/>
        <v>145840500</v>
      </c>
      <c r="J66" s="1">
        <f t="shared" si="11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6">
        <v>61</v>
      </c>
      <c r="Q66" s="2">
        <f t="shared" si="12"/>
        <v>167</v>
      </c>
      <c r="R66" s="1">
        <v>0</v>
      </c>
      <c r="S66" s="1">
        <v>0</v>
      </c>
      <c r="T66" s="6">
        <v>0</v>
      </c>
      <c r="U66" s="6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7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9"/>
        <v>753242000</v>
      </c>
      <c r="I67" s="1">
        <f t="shared" si="10"/>
        <v>153426000</v>
      </c>
      <c r="J67" s="1">
        <f t="shared" si="11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6">
        <v>62</v>
      </c>
      <c r="Q67" s="2">
        <f t="shared" si="12"/>
        <v>170</v>
      </c>
      <c r="R67" s="1">
        <v>0</v>
      </c>
      <c r="S67" s="1">
        <v>0</v>
      </c>
      <c r="T67" s="6">
        <v>0</v>
      </c>
      <c r="U67" s="6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7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9"/>
        <v>785160500</v>
      </c>
      <c r="I68" s="1">
        <f t="shared" si="10"/>
        <v>160036500</v>
      </c>
      <c r="J68" s="1">
        <f t="shared" si="11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6">
        <v>63</v>
      </c>
      <c r="Q68" s="2">
        <f t="shared" si="12"/>
        <v>173</v>
      </c>
      <c r="R68" s="1">
        <v>0</v>
      </c>
      <c r="S68" s="1">
        <v>0</v>
      </c>
      <c r="T68" s="6">
        <v>0</v>
      </c>
      <c r="U68" s="6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7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9"/>
        <v>822615000</v>
      </c>
      <c r="I69" s="1">
        <f t="shared" si="10"/>
        <v>171405000</v>
      </c>
      <c r="J69" s="1">
        <f t="shared" si="11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6">
        <v>64</v>
      </c>
      <c r="Q69" s="2">
        <f t="shared" si="12"/>
        <v>176</v>
      </c>
      <c r="R69" s="1">
        <v>0</v>
      </c>
      <c r="S69" s="1">
        <v>0</v>
      </c>
      <c r="T69" s="6">
        <v>0</v>
      </c>
      <c r="U69" s="6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7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9"/>
        <v>887576500</v>
      </c>
      <c r="I70" s="1">
        <f t="shared" ref="I70:I77" si="16">AB70*AG68*Z70/10</f>
        <v>185581500</v>
      </c>
      <c r="J70" s="1">
        <f t="shared" si="11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6">
        <v>65</v>
      </c>
      <c r="Q70" s="2">
        <f t="shared" si="12"/>
        <v>179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7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1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6">
        <v>66</v>
      </c>
      <c r="Q71" s="2">
        <f t="shared" si="12"/>
        <v>182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7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1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6">
        <v>67</v>
      </c>
      <c r="Q72" s="2">
        <f t="shared" si="12"/>
        <v>185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7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6">
        <v>68</v>
      </c>
      <c r="Q73" s="2">
        <f t="shared" si="12"/>
        <v>188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7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6">
        <v>69</v>
      </c>
      <c r="Q74" s="2">
        <f t="shared" si="12"/>
        <v>191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7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6">
        <v>70</v>
      </c>
      <c r="Q75" s="2">
        <f t="shared" si="12"/>
        <v>194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7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6">
        <v>71</v>
      </c>
      <c r="Q76" s="2">
        <f t="shared" si="12"/>
        <v>197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6">
        <v>72</v>
      </c>
      <c r="Q77" s="2">
        <f t="shared" si="12"/>
        <v>200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2026-06-11T19:43:58Z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