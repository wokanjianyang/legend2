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<sst xmlns="http://schemas.openxmlformats.org/spreadsheetml/2006/main" count="78" uniqueCount="40">
  <si>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#</t>
  </si>
  <si>
    <t>ID</t>
  </si>
  <si>
    <t>Type</t>
  </si>
  <si>
    <t>StartLevel</t>
  </si>
  <si>
    <t>EndLevel</t>
  </si>
  <si>
    <t>Atk</t>
  </si>
  <si>
    <t>AtrRise</t>
  </si>
  <si>
    <t>Def</t>
  </si>
  <si>
    <t>DefRise</t>
  </si>
  <si>
    <t>Hp</t>
  </si>
  <si>
    <t>HpRise</t>
  </si>
  <si>
    <t>DamageIncrea</t>
  </si>
  <si>
    <t>DamageResist</t>
  </si>
  <si>
    <t>Accuracy</t>
  </si>
  <si>
    <t>Miss</t>
  </si>
  <si>
    <t>Reward</t>
  </si>
  <si>
    <t>Id</t>
  </si>
  <si>
    <t>int</t>
  </si>
  <si>
    <t>string</t>
  </si>
  <si>
    <t>double</t>
  </si>
  <si>
    <t>100</t>
  </si>
  <si>
    <t>20</t>
  </si>
  <si>
    <t>100000</t>
  </si>
  <si>
    <t>金币副本</t>
  </si>
  <si>
    <t>200</t>
  </si>
  <si>
    <t>1000000</t>
  </si>
  <si>
    <t>2000</t>
  </si>
  <si>
    <t>10000000</t>
  </si>
  <si>
    <t>200000</t>
  </si>
  <si>
    <t>强化石副本</t>
  </si>
  <si>
    <t>750</t>
  </si>
  <si>
    <t>3000000</t>
  </si>
  <si>
    <t>10000</t>
  </si>
  <si>
    <t>40000000</t>
  </si>
  <si>
    <t>5000</t>
  </si>
  <si>
    <t>1000</t>
  </si>
  <si>
    <t>5000000</t>
  </si>
  <si>
    <t>黑铁石副本</t>
  </si>
  <si>
    <t>100000000</t>
  </si>
  <si>
    <t>2000000000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</si>
</sst>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NumberFormat="1" applyFont="1"/>
    <xf numFmtId="0" fontId="1" fillId="0" borderId="0" xfId="0" applyNumberFormat="1" applyFont="1" applyFill="1"/>
    <xf numFmtId="0" fontId="1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R22"/>
  <sheetViews>
    <sheetView tabSelected="1" workbookViewId="0">
      <pane ySplit="5" topLeftCell="A6" activePane="bottomLeft" state="frozen"/>
      <selection/>
      <selection pane="bottomLeft" activeCell="N29" sqref="N29"/>
    </sheetView>
  </sheetViews>
  <sheetFormatPr defaultColWidth="9" defaultRowHeight="18" customHeight="1"/>
  <cols>
    <col min="1" max="1" width="8.58333333333333" style="1" customWidth="1"/>
    <col min="2" max="2" width="4.5" style="1" customWidth="1"/>
    <col min="3" max="3" width="7.25" style="1" customWidth="1"/>
    <col min="4" max="4" width="9.875" style="1" customWidth="1"/>
    <col min="5" max="5" width="11.125" style="1" customWidth="1"/>
    <col min="6" max="6" width="10.1666666666667" style="1" customWidth="1"/>
    <col min="7" max="7" width="14" style="3" customWidth="1"/>
    <col min="8" max="8" width="10.5" style="3" customWidth="1"/>
    <col min="9" max="9" width="10.3333333333333" style="3" customWidth="1"/>
    <col min="10" max="12" width="12.5833333333333" style="3" customWidth="1"/>
    <col min="13" max="13" width="12" style="1" customWidth="1"/>
    <col min="14" max="14" width="12.1666666666667" style="1" customWidth="1"/>
    <col min="15" max="15" width="9.08333333333333" style="1" customWidth="1"/>
    <col min="16" max="17" width="9" style="1" customWidth="1"/>
    <col min="18" max="16384" width="9" style="1"/>
  </cols>
  <sheetData>
    <row r="1" s="1" customFormat="1" customHeight="1" spans="3:18">
      <c r="R1" s="1" t="s">
        <v>0</v>
      </c>
    </row>
    <row r="2" s="1" customFormat="1" customHeight="1" spans="3:18">
      <c r="R2" s="1" t="s">
        <v>0</v>
      </c>
    </row>
    <row r="3" s="1" customFormat="1" customHeight="1" spans="3:18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="1" customFormat="1" customHeight="1" spans="3:18">
      <c r="C4" s="4" t="s">
        <v>16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</row>
    <row r="5" s="1" customFormat="1" customHeight="1" spans="3:18">
      <c r="C5" s="4" t="s">
        <v>17</v>
      </c>
      <c r="D5" s="4" t="s">
        <v>17</v>
      </c>
      <c r="E5" s="4" t="s">
        <v>17</v>
      </c>
      <c r="F5" s="4" t="s">
        <v>17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4" t="s">
        <v>18</v>
      </c>
      <c r="M5" s="4" t="s">
        <v>19</v>
      </c>
      <c r="N5" s="4" t="s">
        <v>19</v>
      </c>
      <c r="O5" s="4" t="s">
        <v>19</v>
      </c>
      <c r="P5" s="4" t="s">
        <v>19</v>
      </c>
      <c r="Q5" s="4" t="s">
        <v>17</v>
      </c>
    </row>
    <row r="6" s="2" customFormat="1" customHeight="1" spans="3:18">
      <c r="C6" s="2">
        <v>1</v>
      </c>
      <c r="D6" s="2">
        <v>1</v>
      </c>
      <c r="E6" s="2">
        <v>1</v>
      </c>
      <c r="F6" s="2">
        <v>1000</v>
      </c>
      <c r="G6" s="6" t="s">
        <v>20</v>
      </c>
      <c r="H6" s="5">
        <v>100</v>
      </c>
      <c r="I6" s="5">
        <v>20</v>
      </c>
      <c r="J6" s="6" t="s">
        <v>21</v>
      </c>
      <c r="K6" s="6" t="s">
        <v>22</v>
      </c>
      <c r="L6" s="6" t="s">
        <v>22</v>
      </c>
      <c r="M6" s="2">
        <v>0.01</v>
      </c>
      <c r="N6" s="2">
        <v>0.01</v>
      </c>
      <c r="O6" s="2">
        <v>0.01</v>
      </c>
      <c r="P6" s="2">
        <v>0.01</v>
      </c>
      <c r="Q6" s="2">
        <v>10000</v>
      </c>
      <c r="R6" s="2" t="s">
        <v>23</v>
      </c>
    </row>
    <row r="7" s="2" customFormat="1" customHeight="1" spans="3:18">
      <c r="C7" s="2">
        <v>2</v>
      </c>
      <c r="D7" s="2">
        <v>1</v>
      </c>
      <c r="E7" s="2">
        <v>1001</v>
      </c>
      <c r="F7" s="2">
        <v>2000</v>
      </c>
      <c r="G7" s="5">
        <f t="shared" ref="G7:G12" si="0">G6+H6*(F6-E6)+H7</f>
        <v>101000</v>
      </c>
      <c r="H7" s="5">
        <v>1000</v>
      </c>
      <c r="I7" s="5">
        <f t="shared" ref="I7:I12" si="1">I6+J6*(F6-E6)+J7</f>
        <v>20200</v>
      </c>
      <c r="J7" s="6" t="s">
        <v>24</v>
      </c>
      <c r="K7" s="5">
        <f t="shared" ref="K7:K12" si="2">K6+L6*(F6-E6)+L7</f>
        <v>101000000</v>
      </c>
      <c r="L7" s="6" t="s">
        <v>25</v>
      </c>
      <c r="M7" s="2">
        <v>0.01</v>
      </c>
      <c r="N7" s="2">
        <v>0.01</v>
      </c>
      <c r="O7" s="2">
        <v>0.01</v>
      </c>
      <c r="P7" s="2">
        <v>0.01</v>
      </c>
      <c r="Q7" s="2">
        <v>20000</v>
      </c>
      <c r="R7" s="2" t="s">
        <v>23</v>
      </c>
    </row>
    <row r="8" s="2" customFormat="1" customHeight="1" spans="3:18">
      <c r="C8" s="2">
        <v>3</v>
      </c>
      <c r="D8" s="2">
        <v>1</v>
      </c>
      <c r="E8" s="2">
        <v>2001</v>
      </c>
      <c r="F8" s="2">
        <v>3000</v>
      </c>
      <c r="G8" s="5">
        <f t="shared" si="0"/>
        <v>1110000</v>
      </c>
      <c r="H8" s="5">
        <v>10000</v>
      </c>
      <c r="I8" s="5">
        <f t="shared" si="1"/>
        <v>222000</v>
      </c>
      <c r="J8" s="6" t="s">
        <v>26</v>
      </c>
      <c r="K8" s="5">
        <f t="shared" si="2"/>
        <v>1110000000</v>
      </c>
      <c r="L8" s="6" t="s">
        <v>27</v>
      </c>
      <c r="M8" s="2">
        <v>0.01</v>
      </c>
      <c r="N8" s="2">
        <v>0.01</v>
      </c>
      <c r="O8" s="2">
        <v>0.01</v>
      </c>
      <c r="P8" s="2">
        <v>0.01</v>
      </c>
      <c r="Q8" s="2">
        <v>30000</v>
      </c>
      <c r="R8" s="2" t="s">
        <v>23</v>
      </c>
    </row>
    <row r="9" s="2" customFormat="1" customHeight="1" spans="3:18">
      <c r="G9" s="5"/>
      <c r="H9" s="5"/>
      <c r="I9" s="5"/>
      <c r="J9" s="5"/>
      <c r="K9" s="5"/>
      <c r="L9" s="5"/>
    </row>
    <row r="10" s="2" customFormat="1" customHeight="1" spans="3:18">
      <c r="C10" s="2">
        <v>10001</v>
      </c>
      <c r="D10" s="2">
        <v>2</v>
      </c>
      <c r="E10" s="2">
        <v>1</v>
      </c>
      <c r="F10" s="2">
        <v>1000</v>
      </c>
      <c r="G10" s="6" t="s">
        <v>24</v>
      </c>
      <c r="H10" s="6" t="s">
        <v>24</v>
      </c>
      <c r="I10" s="5">
        <v>50</v>
      </c>
      <c r="J10" s="5">
        <v>50</v>
      </c>
      <c r="K10" s="6" t="s">
        <v>28</v>
      </c>
      <c r="L10" s="6" t="s">
        <v>28</v>
      </c>
      <c r="M10" s="2">
        <v>0.02</v>
      </c>
      <c r="N10" s="2">
        <v>0.02</v>
      </c>
      <c r="O10" s="2">
        <v>0.02</v>
      </c>
      <c r="P10" s="2">
        <v>0.02</v>
      </c>
      <c r="Q10" s="2">
        <v>10</v>
      </c>
      <c r="R10" s="2" t="s">
        <v>29</v>
      </c>
    </row>
    <row r="11" s="2" customFormat="1" customHeight="1" spans="3:18">
      <c r="C11" s="2">
        <v>10002</v>
      </c>
      <c r="D11" s="2">
        <v>2</v>
      </c>
      <c r="E11" s="2">
        <v>1001</v>
      </c>
      <c r="F11" s="2">
        <v>2000</v>
      </c>
      <c r="G11" s="5">
        <f t="shared" si="0"/>
        <v>203000</v>
      </c>
      <c r="H11" s="5">
        <v>3000</v>
      </c>
      <c r="I11" s="5">
        <f t="shared" si="1"/>
        <v>50750</v>
      </c>
      <c r="J11" s="6" t="s">
        <v>30</v>
      </c>
      <c r="K11" s="5">
        <f t="shared" si="2"/>
        <v>203000000</v>
      </c>
      <c r="L11" s="6" t="s">
        <v>31</v>
      </c>
      <c r="M11" s="2">
        <v>0.02</v>
      </c>
      <c r="N11" s="2">
        <v>0.02</v>
      </c>
      <c r="O11" s="2">
        <v>0.02</v>
      </c>
      <c r="P11" s="2">
        <v>0.02</v>
      </c>
      <c r="Q11" s="2">
        <v>20</v>
      </c>
    </row>
    <row r="12" s="2" customFormat="1" customHeight="1" spans="3:18">
      <c r="C12" s="2">
        <v>10003</v>
      </c>
      <c r="D12" s="2">
        <v>2</v>
      </c>
      <c r="E12" s="2">
        <v>2001</v>
      </c>
      <c r="F12" s="2">
        <v>3000</v>
      </c>
      <c r="G12" s="5">
        <f t="shared" si="0"/>
        <v>3240000</v>
      </c>
      <c r="H12" s="5">
        <v>40000</v>
      </c>
      <c r="I12" s="5">
        <f t="shared" si="1"/>
        <v>810000</v>
      </c>
      <c r="J12" s="6" t="s">
        <v>32</v>
      </c>
      <c r="K12" s="5">
        <f t="shared" si="2"/>
        <v>3240000000</v>
      </c>
      <c r="L12" s="6" t="s">
        <v>33</v>
      </c>
      <c r="M12" s="2">
        <v>0.02</v>
      </c>
      <c r="N12" s="2">
        <v>0.02</v>
      </c>
      <c r="O12" s="2">
        <v>0.02</v>
      </c>
      <c r="P12" s="2">
        <v>0.02</v>
      </c>
      <c r="Q12" s="2">
        <v>30</v>
      </c>
    </row>
    <row r="13" s="2" customFormat="1" customHeight="1" spans="3:18">
      <c r="G13" s="5"/>
      <c r="H13" s="5"/>
      <c r="I13" s="5"/>
      <c r="J13" s="5"/>
      <c r="K13" s="5"/>
      <c r="L13" s="5"/>
    </row>
    <row r="20" s="2" customFormat="1" customHeight="1" spans="3:18">
      <c r="C20" s="2">
        <v>20001</v>
      </c>
      <c r="D20" s="2">
        <v>3</v>
      </c>
      <c r="E20" s="2">
        <v>1</v>
      </c>
      <c r="F20" s="2">
        <v>100</v>
      </c>
      <c r="G20" s="6" t="s">
        <v>34</v>
      </c>
      <c r="H20" s="6" t="s">
        <v>34</v>
      </c>
      <c r="I20" s="6" t="s">
        <v>35</v>
      </c>
      <c r="J20" s="6" t="s">
        <v>35</v>
      </c>
      <c r="K20" s="6" t="s">
        <v>36</v>
      </c>
      <c r="L20" s="6" t="s">
        <v>36</v>
      </c>
      <c r="M20" s="2">
        <v>0.3</v>
      </c>
      <c r="N20" s="2">
        <v>0.3</v>
      </c>
      <c r="O20" s="2">
        <v>0.3</v>
      </c>
      <c r="P20" s="2">
        <v>0.3</v>
      </c>
      <c r="Q20" s="2">
        <v>1</v>
      </c>
      <c r="R20" s="2" t="s">
        <v>37</v>
      </c>
    </row>
    <row r="21" customHeight="1" spans="3:18">
      <c r="C21" s="2">
        <v>20002</v>
      </c>
      <c r="D21" s="2">
        <v>3</v>
      </c>
      <c r="E21" s="1">
        <v>101</v>
      </c>
      <c r="F21" s="1">
        <v>200</v>
      </c>
      <c r="G21" s="5">
        <f>G20+H20*(F20-E20)+H21</f>
        <v>600000</v>
      </c>
      <c r="H21" s="3">
        <v>100000</v>
      </c>
      <c r="I21" s="5">
        <f>I20+J20*(F20-E20)+J21</f>
        <v>120000</v>
      </c>
      <c r="J21" s="3">
        <v>20000</v>
      </c>
      <c r="K21" s="5">
        <f>K20+L20*(F20-E20)+L21</f>
        <v>600000000</v>
      </c>
      <c r="L21" s="6" t="s">
        <v>38</v>
      </c>
      <c r="M21" s="2">
        <v>0.3</v>
      </c>
      <c r="N21" s="2">
        <v>0.3</v>
      </c>
      <c r="O21" s="2">
        <v>0.3</v>
      </c>
      <c r="P21" s="2">
        <v>0.3</v>
      </c>
      <c r="Q21" s="1">
        <v>2</v>
      </c>
      <c r="R21" s="2" t="s">
        <v>37</v>
      </c>
    </row>
    <row r="22" customHeight="1" spans="3:18">
      <c r="C22" s="2">
        <v>20003</v>
      </c>
      <c r="D22" s="2">
        <v>3</v>
      </c>
      <c r="E22" s="1">
        <v>201</v>
      </c>
      <c r="F22" s="1">
        <v>300</v>
      </c>
      <c r="G22" s="5">
        <f>G21+H21*(F21-E21)+H22</f>
        <v>12500000</v>
      </c>
      <c r="H22" s="3">
        <v>2000000</v>
      </c>
      <c r="I22" s="5">
        <f>I21+J21*(F21-E21)+J22</f>
        <v>2500000</v>
      </c>
      <c r="J22" s="3">
        <v>400000</v>
      </c>
      <c r="K22" s="5">
        <f>K21+L21*(F21-E21)+L22</f>
        <v>12500000000</v>
      </c>
      <c r="L22" s="6" t="s">
        <v>39</v>
      </c>
      <c r="M22" s="2">
        <v>0.3</v>
      </c>
      <c r="N22" s="2">
        <v>0.3</v>
      </c>
      <c r="O22" s="2">
        <v>0.3</v>
      </c>
      <c r="P22" s="2">
        <v>0.3</v>
      </c>
      <c r="Q22" s="1">
        <v>3</v>
      </c>
      <c r="R22" s="2" t="s">
        <v>37</v>
      </c>
    </row>
  </sheetData>
  <dataValidations count="1">
    <dataValidation type="custom" allowBlank="1" showErrorMessage="1" errorTitle="拒绝重复输入" error="当前输入的内容，与本区域的其他单元格内容重复。" sqref="C3:G3 H3 J3 L3 Q3 C4 D4 E4:G4 H4 J4 L4 Q4 C5:G5 H5 J5 L5 M5 N5:P5 Q5 I3:I5 K3:K5 M3:M4 N3:N4 O3:O4 P3:P4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2026-07-28T08:00:40Z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