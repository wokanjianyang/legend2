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 activeTab="1"/>
  </bookViews>
  <sheets>
    <sheet name="固定特性" sheetId="2" r:id="rId1"/>
    <sheet name="随机特性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sharedStrings.xml><?xml version="1.0" encoding="utf-8"?>
<sst xmlns="http://schemas.openxmlformats.org/spreadsheetml/2006/main" count="298" uniqueCount="159">
  <si>
    <t>#</t>
  </si>
  <si>
    <t>_ID</t>
  </si>
  <si>
    <t>Type</t>
  </si>
  <si>
    <t>Role</t>
  </si>
  <si>
    <t>Name</t>
  </si>
  <si>
    <t>LevelRate</t>
  </si>
  <si>
    <t>StartPetId</t>
  </si>
  <si>
    <t>EndPetId</t>
  </si>
  <si>
    <t>Rate</t>
  </si>
  <si>
    <t>AtrIdList</t>
  </si>
  <si>
    <t>AtrVueList</t>
  </si>
  <si>
    <t>AtrVueList1</t>
  </si>
  <si>
    <t>RiseType</t>
  </si>
  <si>
    <t>StartQuality</t>
  </si>
  <si>
    <t>EndQuality</t>
  </si>
  <si>
    <t>Des</t>
  </si>
  <si>
    <t>max</t>
  </si>
  <si>
    <t>Id</t>
  </si>
  <si>
    <t>int</t>
  </si>
  <si>
    <t>string</t>
  </si>
  <si>
    <t>int[]</t>
  </si>
  <si>
    <t>健壮</t>
  </si>
  <si>
    <t>3000</t>
  </si>
  <si>
    <t>基础生命</t>
  </si>
  <si>
    <t>坚固</t>
  </si>
  <si>
    <t>200</t>
  </si>
  <si>
    <t>基础防御</t>
  </si>
  <si>
    <t>锋利</t>
  </si>
  <si>
    <t>基础攻击</t>
  </si>
  <si>
    <t>战宠</t>
  </si>
  <si>
    <t>300</t>
  </si>
  <si>
    <t>基础物攻</t>
  </si>
  <si>
    <t>法宠</t>
  </si>
  <si>
    <t>基础魔法</t>
  </si>
  <si>
    <t>道宠</t>
  </si>
  <si>
    <t>基础道术</t>
  </si>
  <si>
    <t>动作快</t>
  </si>
  <si>
    <t>技能冷却</t>
  </si>
  <si>
    <t>打的快</t>
  </si>
  <si>
    <t>攻速</t>
  </si>
  <si>
    <t>跑得快</t>
  </si>
  <si>
    <t>移动速度</t>
  </si>
  <si>
    <t>打得准</t>
  </si>
  <si>
    <t>命中</t>
  </si>
  <si>
    <t>躲得快</t>
  </si>
  <si>
    <t>闪避</t>
  </si>
  <si>
    <t>恢复快</t>
  </si>
  <si>
    <t>恢复加成</t>
  </si>
  <si>
    <t>瞅的准</t>
  </si>
  <si>
    <t>暴击概率</t>
  </si>
  <si>
    <t>打的狠</t>
  </si>
  <si>
    <t>爆伤</t>
  </si>
  <si>
    <t>战卫</t>
  </si>
  <si>
    <t>物伤</t>
  </si>
  <si>
    <t>法灵</t>
  </si>
  <si>
    <t>魔伤</t>
  </si>
  <si>
    <t>道仆</t>
  </si>
  <si>
    <t>道伤</t>
  </si>
  <si>
    <t>破魂</t>
  </si>
  <si>
    <t>增伤</t>
  </si>
  <si>
    <t>神御</t>
  </si>
  <si>
    <t>减伤</t>
  </si>
  <si>
    <t>战神</t>
  </si>
  <si>
    <t>物攻倍率</t>
  </si>
  <si>
    <t>法神</t>
  </si>
  <si>
    <t>法攻倍率</t>
  </si>
  <si>
    <t>道神</t>
  </si>
  <si>
    <t>道攻倍率</t>
  </si>
  <si>
    <t>生机</t>
  </si>
  <si>
    <t>生命倍率</t>
  </si>
  <si>
    <t>不屈</t>
  </si>
  <si>
    <t>防御倍率</t>
  </si>
  <si>
    <t>固守</t>
  </si>
  <si>
    <t>减伤倍率</t>
  </si>
  <si>
    <t>招财</t>
  </si>
  <si>
    <t>金币加成</t>
  </si>
  <si>
    <t>历练</t>
  </si>
  <si>
    <t>经验加成</t>
  </si>
  <si>
    <t>好运</t>
  </si>
  <si>
    <t>品质加成</t>
  </si>
  <si>
    <t>寻宝</t>
  </si>
  <si>
    <t>掉率加成</t>
  </si>
  <si>
    <t>妙手</t>
  </si>
  <si>
    <t>杀敌金币</t>
  </si>
  <si>
    <t>好学</t>
  </si>
  <si>
    <t>杀敌经验</t>
  </si>
  <si>
    <t>体魄</t>
  </si>
  <si>
    <t>1001,2001</t>
  </si>
  <si>
    <t>10,5</t>
  </si>
  <si>
    <t>20,10</t>
  </si>
  <si>
    <t>1,1</t>
  </si>
  <si>
    <t>生命加成+10%，生命增幅+5%</t>
  </si>
  <si>
    <t>壁垒</t>
  </si>
  <si>
    <t>1002,2002</t>
  </si>
  <si>
    <t>防御加成+10%，防御增幅+5%</t>
  </si>
  <si>
    <t>利刃</t>
  </si>
  <si>
    <t>1003,2003</t>
  </si>
  <si>
    <t>攻击加成+10%，攻击增幅+5%</t>
  </si>
  <si>
    <t>唯快不破</t>
  </si>
  <si>
    <t>11,12</t>
  </si>
  <si>
    <t>5,10</t>
  </si>
  <si>
    <t>10,20</t>
  </si>
  <si>
    <t>攻击速度+5%，移动速度+10%</t>
  </si>
  <si>
    <t>子弹时间</t>
  </si>
  <si>
    <t>10,22</t>
  </si>
  <si>
    <t>5,25</t>
  </si>
  <si>
    <t>10,50</t>
  </si>
  <si>
    <t>技能冷却+5%，暴击伤害+25%</t>
  </si>
  <si>
    <t>射手直觉</t>
  </si>
  <si>
    <t>13,14</t>
  </si>
  <si>
    <t>5,5</t>
  </si>
  <si>
    <t>10,10</t>
  </si>
  <si>
    <t>命中+5%，闪避+5%</t>
  </si>
  <si>
    <t>真男人</t>
  </si>
  <si>
    <t>10001,10002</t>
  </si>
  <si>
    <t>20,20</t>
  </si>
  <si>
    <t>防御倍率+10%，生命倍率+10%</t>
  </si>
  <si>
    <t>打不死我</t>
  </si>
  <si>
    <t>10002,10028</t>
  </si>
  <si>
    <t>防御倍率+10%，减伤倍率+10%</t>
  </si>
  <si>
    <t>一刀999</t>
  </si>
  <si>
    <t>10003,10027</t>
  </si>
  <si>
    <t>攻击倍率+10%，增伤倍率+10%</t>
  </si>
  <si>
    <t>钱多多</t>
  </si>
  <si>
    <t>85,81</t>
  </si>
  <si>
    <t>杀敌金币+10，金币加成+10%</t>
  </si>
  <si>
    <t>聚灵术</t>
  </si>
  <si>
    <t>86,82</t>
  </si>
  <si>
    <t>杀敌经验+10，经验加成+10%</t>
  </si>
  <si>
    <t>聚宝盆</t>
  </si>
  <si>
    <t>83,84</t>
  </si>
  <si>
    <t>3,3</t>
  </si>
  <si>
    <t>6,6</t>
  </si>
  <si>
    <t>掉率加成+3%，品质加成+3%</t>
  </si>
  <si>
    <t>战魂</t>
  </si>
  <si>
    <t>1007,2007</t>
  </si>
  <si>
    <t>物伤加成，物伤增幅</t>
  </si>
  <si>
    <t>法魂</t>
  </si>
  <si>
    <t>1008,2008</t>
  </si>
  <si>
    <t>魔伤加成，魔伤增幅</t>
  </si>
  <si>
    <t>道魂</t>
  </si>
  <si>
    <t>1009,2009</t>
  </si>
  <si>
    <t>道伤加成，道伤增幅</t>
  </si>
  <si>
    <t>强袭</t>
  </si>
  <si>
    <t>2003,10003</t>
  </si>
  <si>
    <t>攻击增幅，攻击倍率</t>
  </si>
  <si>
    <t>2002,10002</t>
  </si>
  <si>
    <t>防御增幅，防御倍率</t>
  </si>
  <si>
    <t>坚韧</t>
  </si>
  <si>
    <t>2003,10001</t>
  </si>
  <si>
    <t>生命增幅，生命倍率</t>
  </si>
  <si>
    <t>战圣</t>
  </si>
  <si>
    <t>1007,10007</t>
  </si>
  <si>
    <t>物伤加成，物伤倍率</t>
  </si>
  <si>
    <t>1008,10008</t>
  </si>
  <si>
    <t>魔伤加成，魔伤倍率</t>
  </si>
  <si>
    <t>道尊</t>
  </si>
  <si>
    <t>1009,10009</t>
  </si>
  <si>
    <t>道伤加成，道伤倍率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</si>
</sst>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horizontal="left" vertical="center"/>
    </xf>
    <xf numFmtId="0" fontId="3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S118"/>
  <sheetViews>
    <sheetView workbookViewId="0">
      <selection activeCell="K31" sqref="K31"/>
    </sheetView>
  </sheetViews>
  <sheetFormatPr defaultColWidth="9" defaultRowHeight="16" customHeight="1"/>
  <cols>
    <col min="1" max="4" width="9" style="1"/>
    <col min="5" max="5" width="12.8333333333333" style="1" customWidth="1"/>
    <col min="6" max="10" width="13" style="1" customWidth="1"/>
    <col min="11" max="11" width="17" style="1" customWidth="1"/>
    <col min="12" max="12" width="11.3333333333333" style="1" customWidth="1"/>
    <col min="13" max="14" width="11.5833333333333" style="1" customWidth="1"/>
    <col min="15" max="16" width="9" style="1"/>
    <col min="17" max="17" width="14.1666666666667" style="1" customWidth="1"/>
    <col min="18" max="18" width="14.75" style="1" customWidth="1"/>
    <col min="19" max="16384" width="9" style="1"/>
  </cols>
  <sheetData>
    <row r="1" customHeight="1" spans="3:19">
      <c r="Q1" s="1" t="s">
        <v>0</v>
      </c>
      <c r="R1" s="1" t="s">
        <v>0</v>
      </c>
      <c r="S1" s="1" t="s">
        <v>0</v>
      </c>
    </row>
    <row r="2" customHeight="1" spans="3:19">
      <c r="Q2" s="1" t="s">
        <v>0</v>
      </c>
      <c r="R2" s="1" t="s">
        <v>0</v>
      </c>
      <c r="S2" s="1" t="s">
        <v>0</v>
      </c>
    </row>
    <row r="3" s="1" customFormat="1" customHeight="1" spans="3:19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1" t="s">
        <v>16</v>
      </c>
    </row>
    <row r="4" s="1" customFormat="1" customHeight="1" spans="3:19">
      <c r="C4" s="2" t="s">
        <v>17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="1" customFormat="1" customHeight="1" spans="3:19">
      <c r="C5" s="2" t="s">
        <v>18</v>
      </c>
      <c r="D5" s="2" t="s">
        <v>18</v>
      </c>
      <c r="E5" s="2" t="s">
        <v>18</v>
      </c>
      <c r="F5" s="2" t="s">
        <v>19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20</v>
      </c>
      <c r="L5" s="2" t="s">
        <v>20</v>
      </c>
      <c r="M5" s="2" t="s">
        <v>20</v>
      </c>
      <c r="N5" s="2" t="s">
        <v>20</v>
      </c>
      <c r="O5" s="2" t="s">
        <v>18</v>
      </c>
      <c r="P5" s="2" t="s">
        <v>18</v>
      </c>
      <c r="Q5" s="2" t="s">
        <v>19</v>
      </c>
    </row>
    <row r="6" s="1" customFormat="1" customHeight="1" spans="3:19">
      <c r="C6" s="1">
        <v>1</v>
      </c>
      <c r="D6" s="1">
        <v>1</v>
      </c>
      <c r="E6" s="1">
        <v>0</v>
      </c>
      <c r="F6" s="1" t="s">
        <v>21</v>
      </c>
      <c r="G6" s="1">
        <v>6</v>
      </c>
      <c r="H6" s="1">
        <v>1</v>
      </c>
      <c r="I6" s="1">
        <v>999</v>
      </c>
      <c r="J6" s="1">
        <v>100</v>
      </c>
      <c r="K6" s="1">
        <v>1</v>
      </c>
      <c r="L6" s="8" t="s">
        <v>22</v>
      </c>
      <c r="M6" s="1">
        <f t="shared" ref="M6:M30" si="0">L6*2</f>
        <v>6000</v>
      </c>
      <c r="N6" s="1">
        <v>2</v>
      </c>
      <c r="O6" s="1">
        <v>1</v>
      </c>
      <c r="P6" s="1">
        <v>10</v>
      </c>
      <c r="Q6" s="1" t="s">
        <v>23</v>
      </c>
      <c r="R6" s="1">
        <f t="shared" ref="R6:R32" si="1">INT((S6-H6)/G6)+1</f>
        <v>13</v>
      </c>
      <c r="S6" s="1">
        <v>73</v>
      </c>
    </row>
    <row r="7" s="1" customFormat="1" customHeight="1" spans="3:19">
      <c r="C7" s="1">
        <v>2</v>
      </c>
      <c r="D7" s="1">
        <v>1</v>
      </c>
      <c r="E7" s="1">
        <v>0</v>
      </c>
      <c r="F7" s="1" t="s">
        <v>24</v>
      </c>
      <c r="G7" s="1">
        <v>6</v>
      </c>
      <c r="H7" s="1">
        <v>1</v>
      </c>
      <c r="I7" s="1">
        <v>999</v>
      </c>
      <c r="J7" s="1">
        <v>100</v>
      </c>
      <c r="K7" s="1">
        <v>2</v>
      </c>
      <c r="L7" s="8" t="s">
        <v>25</v>
      </c>
      <c r="M7" s="1">
        <f t="shared" si="0"/>
        <v>400</v>
      </c>
      <c r="N7" s="1">
        <v>2</v>
      </c>
      <c r="O7" s="1">
        <v>1</v>
      </c>
      <c r="P7" s="1">
        <v>10</v>
      </c>
      <c r="Q7" s="1" t="s">
        <v>26</v>
      </c>
      <c r="R7" s="1">
        <f t="shared" si="1"/>
        <v>13</v>
      </c>
      <c r="S7" s="1">
        <v>73</v>
      </c>
    </row>
    <row r="8" s="1" customFormat="1" customHeight="1" spans="3:19">
      <c r="C8" s="1">
        <v>3</v>
      </c>
      <c r="D8" s="1">
        <v>1</v>
      </c>
      <c r="E8" s="1">
        <v>0</v>
      </c>
      <c r="F8" s="1" t="s">
        <v>27</v>
      </c>
      <c r="G8" s="1">
        <v>6</v>
      </c>
      <c r="H8" s="1">
        <v>1</v>
      </c>
      <c r="I8" s="1">
        <v>999</v>
      </c>
      <c r="J8" s="1">
        <v>100</v>
      </c>
      <c r="K8" s="1">
        <v>3</v>
      </c>
      <c r="L8" s="8" t="s">
        <v>25</v>
      </c>
      <c r="M8" s="1">
        <f t="shared" si="0"/>
        <v>400</v>
      </c>
      <c r="N8" s="1">
        <v>2</v>
      </c>
      <c r="O8" s="1">
        <v>1</v>
      </c>
      <c r="P8" s="1">
        <v>10</v>
      </c>
      <c r="Q8" s="1" t="s">
        <v>28</v>
      </c>
      <c r="R8" s="1">
        <f t="shared" si="1"/>
        <v>13</v>
      </c>
      <c r="S8" s="1">
        <v>73</v>
      </c>
    </row>
    <row r="9" s="1" customFormat="1" customHeight="1" spans="3:19">
      <c r="C9" s="1">
        <v>4</v>
      </c>
      <c r="D9" s="1">
        <v>1</v>
      </c>
      <c r="E9" s="1">
        <v>1</v>
      </c>
      <c r="F9" s="1" t="s">
        <v>29</v>
      </c>
      <c r="G9" s="1">
        <v>6</v>
      </c>
      <c r="H9" s="1">
        <v>1</v>
      </c>
      <c r="I9" s="1">
        <v>999</v>
      </c>
      <c r="J9" s="1">
        <v>100</v>
      </c>
      <c r="K9" s="1">
        <v>4</v>
      </c>
      <c r="L9" s="8" t="s">
        <v>30</v>
      </c>
      <c r="M9" s="1">
        <f t="shared" si="0"/>
        <v>600</v>
      </c>
      <c r="N9" s="1">
        <v>2</v>
      </c>
      <c r="O9" s="1">
        <v>1</v>
      </c>
      <c r="P9" s="1">
        <v>10</v>
      </c>
      <c r="Q9" s="1" t="s">
        <v>31</v>
      </c>
      <c r="R9" s="1">
        <f t="shared" si="1"/>
        <v>13</v>
      </c>
      <c r="S9" s="1">
        <v>73</v>
      </c>
    </row>
    <row r="10" s="1" customFormat="1" customHeight="1" spans="3:19">
      <c r="C10" s="1">
        <v>5</v>
      </c>
      <c r="D10" s="1">
        <v>1</v>
      </c>
      <c r="E10" s="1">
        <v>2</v>
      </c>
      <c r="F10" s="1" t="s">
        <v>32</v>
      </c>
      <c r="G10" s="1">
        <v>6</v>
      </c>
      <c r="H10" s="1">
        <v>1</v>
      </c>
      <c r="I10" s="1">
        <v>999</v>
      </c>
      <c r="J10" s="1">
        <v>100</v>
      </c>
      <c r="K10" s="1">
        <v>5</v>
      </c>
      <c r="L10" s="8" t="s">
        <v>30</v>
      </c>
      <c r="M10" s="1">
        <f t="shared" si="0"/>
        <v>600</v>
      </c>
      <c r="N10" s="1">
        <v>2</v>
      </c>
      <c r="O10" s="1">
        <v>1</v>
      </c>
      <c r="P10" s="1">
        <v>10</v>
      </c>
      <c r="Q10" s="1" t="s">
        <v>33</v>
      </c>
      <c r="R10" s="1">
        <f t="shared" si="1"/>
        <v>13</v>
      </c>
      <c r="S10" s="1">
        <v>73</v>
      </c>
    </row>
    <row r="11" s="1" customFormat="1" customHeight="1" spans="3:19">
      <c r="C11" s="1">
        <v>6</v>
      </c>
      <c r="D11" s="1">
        <v>1</v>
      </c>
      <c r="E11" s="1">
        <v>3</v>
      </c>
      <c r="F11" s="1" t="s">
        <v>34</v>
      </c>
      <c r="G11" s="1">
        <v>6</v>
      </c>
      <c r="H11" s="1">
        <v>1</v>
      </c>
      <c r="I11" s="1">
        <v>999</v>
      </c>
      <c r="J11" s="1">
        <v>100</v>
      </c>
      <c r="K11" s="1">
        <v>6</v>
      </c>
      <c r="L11" s="8" t="s">
        <v>30</v>
      </c>
      <c r="M11" s="1">
        <f t="shared" si="0"/>
        <v>600</v>
      </c>
      <c r="N11" s="1">
        <v>2</v>
      </c>
      <c r="O11" s="1">
        <v>1</v>
      </c>
      <c r="P11" s="1">
        <v>10</v>
      </c>
      <c r="Q11" s="1" t="s">
        <v>35</v>
      </c>
      <c r="R11" s="1">
        <f t="shared" si="1"/>
        <v>13</v>
      </c>
      <c r="S11" s="1">
        <v>73</v>
      </c>
    </row>
    <row r="12" s="1" customFormat="1" customHeight="1" spans="3:19">
      <c r="C12" s="1">
        <v>10</v>
      </c>
      <c r="D12" s="1">
        <v>1</v>
      </c>
      <c r="E12" s="1">
        <v>0</v>
      </c>
      <c r="F12" s="1" t="s">
        <v>36</v>
      </c>
      <c r="G12" s="1">
        <v>72</v>
      </c>
      <c r="H12" s="1">
        <v>1</v>
      </c>
      <c r="I12" s="1">
        <v>999</v>
      </c>
      <c r="J12" s="1">
        <v>5</v>
      </c>
      <c r="K12" s="1">
        <v>10</v>
      </c>
      <c r="L12" s="1">
        <v>5</v>
      </c>
      <c r="M12" s="1">
        <f t="shared" si="0"/>
        <v>10</v>
      </c>
      <c r="N12" s="1">
        <v>1</v>
      </c>
      <c r="O12" s="1">
        <v>5</v>
      </c>
      <c r="P12" s="1">
        <v>10</v>
      </c>
      <c r="Q12" s="1" t="s">
        <v>37</v>
      </c>
      <c r="R12" s="1">
        <f t="shared" si="1"/>
        <v>2</v>
      </c>
      <c r="S12" s="1">
        <v>73</v>
      </c>
    </row>
    <row r="13" s="1" customFormat="1" customHeight="1" spans="3:19">
      <c r="C13" s="1">
        <v>11</v>
      </c>
      <c r="D13" s="1">
        <v>1</v>
      </c>
      <c r="E13" s="1">
        <v>0</v>
      </c>
      <c r="F13" s="1" t="s">
        <v>38</v>
      </c>
      <c r="G13" s="1">
        <v>72</v>
      </c>
      <c r="H13" s="1">
        <v>1</v>
      </c>
      <c r="I13" s="1">
        <v>999</v>
      </c>
      <c r="J13" s="1">
        <v>5</v>
      </c>
      <c r="K13" s="1">
        <v>11</v>
      </c>
      <c r="L13" s="1">
        <v>5</v>
      </c>
      <c r="M13" s="1">
        <f t="shared" si="0"/>
        <v>10</v>
      </c>
      <c r="N13" s="1">
        <v>1</v>
      </c>
      <c r="O13" s="1">
        <v>5</v>
      </c>
      <c r="P13" s="1">
        <v>10</v>
      </c>
      <c r="Q13" s="1" t="s">
        <v>39</v>
      </c>
      <c r="R13" s="1">
        <f t="shared" si="1"/>
        <v>2</v>
      </c>
      <c r="S13" s="1">
        <v>73</v>
      </c>
    </row>
    <row r="14" customHeight="1" spans="3:19">
      <c r="C14" s="1">
        <v>12</v>
      </c>
      <c r="D14" s="1">
        <v>1</v>
      </c>
      <c r="E14" s="1">
        <v>0</v>
      </c>
      <c r="F14" s="1" t="s">
        <v>40</v>
      </c>
      <c r="G14" s="1">
        <v>72</v>
      </c>
      <c r="H14" s="1">
        <v>1</v>
      </c>
      <c r="I14" s="1">
        <v>999</v>
      </c>
      <c r="J14" s="1">
        <v>50</v>
      </c>
      <c r="K14" s="1">
        <v>12</v>
      </c>
      <c r="L14" s="1">
        <v>10</v>
      </c>
      <c r="M14" s="1">
        <f t="shared" si="0"/>
        <v>20</v>
      </c>
      <c r="N14" s="1">
        <v>1</v>
      </c>
      <c r="O14" s="1">
        <v>4</v>
      </c>
      <c r="P14" s="1">
        <v>10</v>
      </c>
      <c r="Q14" s="1" t="s">
        <v>41</v>
      </c>
      <c r="R14" s="1">
        <f t="shared" si="1"/>
        <v>2</v>
      </c>
      <c r="S14" s="1">
        <v>73</v>
      </c>
    </row>
    <row r="15" s="1" customFormat="1" customHeight="1" spans="3:19">
      <c r="C15" s="1">
        <v>13</v>
      </c>
      <c r="D15" s="1">
        <v>1</v>
      </c>
      <c r="E15" s="1">
        <v>0</v>
      </c>
      <c r="F15" s="1" t="s">
        <v>42</v>
      </c>
      <c r="G15" s="1">
        <v>24</v>
      </c>
      <c r="H15" s="1">
        <v>1</v>
      </c>
      <c r="I15" s="1">
        <v>999</v>
      </c>
      <c r="J15" s="1">
        <v>40</v>
      </c>
      <c r="K15" s="1">
        <v>13</v>
      </c>
      <c r="L15" s="1">
        <v>5</v>
      </c>
      <c r="M15" s="1">
        <f t="shared" si="0"/>
        <v>10</v>
      </c>
      <c r="N15" s="1">
        <v>1</v>
      </c>
      <c r="O15" s="1">
        <v>4</v>
      </c>
      <c r="P15" s="1">
        <v>10</v>
      </c>
      <c r="Q15" s="1" t="s">
        <v>43</v>
      </c>
      <c r="R15" s="1">
        <f t="shared" si="1"/>
        <v>4</v>
      </c>
      <c r="S15" s="1">
        <v>73</v>
      </c>
    </row>
    <row r="16" s="1" customFormat="1" customHeight="1" spans="3:19">
      <c r="C16" s="1">
        <v>14</v>
      </c>
      <c r="D16" s="1">
        <v>1</v>
      </c>
      <c r="E16" s="1">
        <v>0</v>
      </c>
      <c r="F16" s="1" t="s">
        <v>44</v>
      </c>
      <c r="G16" s="1">
        <v>24</v>
      </c>
      <c r="H16" s="1">
        <v>1</v>
      </c>
      <c r="I16" s="1">
        <v>999</v>
      </c>
      <c r="J16" s="1">
        <v>40</v>
      </c>
      <c r="K16" s="1">
        <v>14</v>
      </c>
      <c r="L16" s="1">
        <v>5</v>
      </c>
      <c r="M16" s="1">
        <f t="shared" si="0"/>
        <v>10</v>
      </c>
      <c r="N16" s="1">
        <v>1</v>
      </c>
      <c r="O16" s="1">
        <v>4</v>
      </c>
      <c r="P16" s="1">
        <v>10</v>
      </c>
      <c r="Q16" s="1" t="s">
        <v>45</v>
      </c>
      <c r="R16" s="1">
        <f t="shared" si="1"/>
        <v>4</v>
      </c>
      <c r="S16" s="1">
        <v>73</v>
      </c>
    </row>
    <row r="17" s="1" customFormat="1" customHeight="1" spans="3:19">
      <c r="C17" s="1">
        <v>15</v>
      </c>
      <c r="D17" s="1">
        <v>1</v>
      </c>
      <c r="E17" s="1">
        <v>0</v>
      </c>
      <c r="F17" s="1" t="s">
        <v>46</v>
      </c>
      <c r="G17" s="1">
        <v>24</v>
      </c>
      <c r="H17" s="1">
        <v>1</v>
      </c>
      <c r="I17" s="1">
        <v>999</v>
      </c>
      <c r="J17" s="1">
        <v>40</v>
      </c>
      <c r="K17" s="1">
        <v>15</v>
      </c>
      <c r="L17" s="1">
        <v>5</v>
      </c>
      <c r="M17" s="1">
        <f t="shared" si="0"/>
        <v>10</v>
      </c>
      <c r="N17" s="1">
        <v>1</v>
      </c>
      <c r="O17" s="1">
        <v>4</v>
      </c>
      <c r="P17" s="1">
        <v>10</v>
      </c>
      <c r="Q17" s="1" t="s">
        <v>47</v>
      </c>
      <c r="R17" s="1">
        <f t="shared" si="1"/>
        <v>4</v>
      </c>
      <c r="S17" s="1">
        <v>73</v>
      </c>
    </row>
    <row r="18" s="1" customFormat="1" customHeight="1" spans="3:19">
      <c r="C18" s="1">
        <v>21</v>
      </c>
      <c r="D18" s="1">
        <v>1</v>
      </c>
      <c r="E18" s="1">
        <v>0</v>
      </c>
      <c r="F18" s="1" t="s">
        <v>48</v>
      </c>
      <c r="G18" s="1">
        <v>24</v>
      </c>
      <c r="H18" s="1">
        <v>1</v>
      </c>
      <c r="I18" s="1">
        <v>999</v>
      </c>
      <c r="J18" s="1">
        <v>10</v>
      </c>
      <c r="K18" s="1">
        <v>21</v>
      </c>
      <c r="L18" s="1">
        <v>5</v>
      </c>
      <c r="M18" s="1">
        <f t="shared" si="0"/>
        <v>10</v>
      </c>
      <c r="N18" s="1">
        <v>1</v>
      </c>
      <c r="O18" s="1">
        <v>4</v>
      </c>
      <c r="P18" s="1">
        <v>10</v>
      </c>
      <c r="Q18" s="1" t="s">
        <v>49</v>
      </c>
      <c r="R18" s="1">
        <f t="shared" si="1"/>
        <v>4</v>
      </c>
      <c r="S18" s="1">
        <v>73</v>
      </c>
    </row>
    <row r="19" s="1" customFormat="1" customHeight="1" spans="3:19">
      <c r="C19" s="1">
        <v>22</v>
      </c>
      <c r="D19" s="1">
        <v>1</v>
      </c>
      <c r="E19" s="1">
        <v>0</v>
      </c>
      <c r="F19" s="1" t="s">
        <v>50</v>
      </c>
      <c r="G19" s="1">
        <v>24</v>
      </c>
      <c r="H19" s="1">
        <v>1</v>
      </c>
      <c r="I19" s="1">
        <v>999</v>
      </c>
      <c r="J19" s="1">
        <v>30</v>
      </c>
      <c r="K19" s="1">
        <v>22</v>
      </c>
      <c r="L19" s="1">
        <v>20</v>
      </c>
      <c r="M19" s="1">
        <f t="shared" si="0"/>
        <v>40</v>
      </c>
      <c r="N19" s="1">
        <v>1</v>
      </c>
      <c r="O19" s="1">
        <v>4</v>
      </c>
      <c r="P19" s="1">
        <v>10</v>
      </c>
      <c r="Q19" s="1" t="s">
        <v>51</v>
      </c>
      <c r="R19" s="1">
        <f t="shared" si="1"/>
        <v>4</v>
      </c>
      <c r="S19" s="1">
        <v>73</v>
      </c>
    </row>
    <row r="20" s="1" customFormat="1" customHeight="1" spans="3:19">
      <c r="C20" s="1">
        <v>23</v>
      </c>
      <c r="D20" s="1">
        <v>1</v>
      </c>
      <c r="E20" s="1">
        <v>1</v>
      </c>
      <c r="F20" s="1" t="s">
        <v>52</v>
      </c>
      <c r="G20" s="1">
        <v>24</v>
      </c>
      <c r="H20" s="1">
        <v>1</v>
      </c>
      <c r="I20" s="1">
        <v>999</v>
      </c>
      <c r="J20" s="1">
        <v>30</v>
      </c>
      <c r="K20" s="1">
        <v>1007</v>
      </c>
      <c r="L20" s="1">
        <v>20</v>
      </c>
      <c r="M20" s="1">
        <f t="shared" si="0"/>
        <v>40</v>
      </c>
      <c r="N20" s="1">
        <v>1</v>
      </c>
      <c r="O20" s="1">
        <v>6</v>
      </c>
      <c r="P20" s="1">
        <v>10</v>
      </c>
      <c r="Q20" s="1" t="s">
        <v>53</v>
      </c>
      <c r="R20" s="1">
        <f t="shared" si="1"/>
        <v>4</v>
      </c>
      <c r="S20" s="1">
        <v>73</v>
      </c>
    </row>
    <row r="21" s="1" customFormat="1" customHeight="1" spans="3:19">
      <c r="C21" s="1">
        <v>24</v>
      </c>
      <c r="D21" s="1">
        <v>1</v>
      </c>
      <c r="E21" s="1">
        <v>2</v>
      </c>
      <c r="F21" s="1" t="s">
        <v>54</v>
      </c>
      <c r="G21" s="1">
        <v>24</v>
      </c>
      <c r="H21" s="1">
        <v>1</v>
      </c>
      <c r="I21" s="1">
        <v>999</v>
      </c>
      <c r="J21" s="1">
        <v>30</v>
      </c>
      <c r="K21" s="1">
        <v>1008</v>
      </c>
      <c r="L21" s="1">
        <v>20</v>
      </c>
      <c r="M21" s="1">
        <f t="shared" si="0"/>
        <v>40</v>
      </c>
      <c r="N21" s="1">
        <v>1</v>
      </c>
      <c r="O21" s="1">
        <v>6</v>
      </c>
      <c r="P21" s="1">
        <v>10</v>
      </c>
      <c r="Q21" s="1" t="s">
        <v>55</v>
      </c>
      <c r="R21" s="1">
        <f t="shared" si="1"/>
        <v>4</v>
      </c>
      <c r="S21" s="1">
        <v>73</v>
      </c>
    </row>
    <row r="22" s="1" customFormat="1" customHeight="1" spans="3:19">
      <c r="C22" s="1">
        <v>25</v>
      </c>
      <c r="D22" s="1">
        <v>1</v>
      </c>
      <c r="E22" s="1">
        <v>3</v>
      </c>
      <c r="F22" s="1" t="s">
        <v>56</v>
      </c>
      <c r="G22" s="1">
        <v>24</v>
      </c>
      <c r="H22" s="1">
        <v>1</v>
      </c>
      <c r="I22" s="1">
        <v>999</v>
      </c>
      <c r="J22" s="1">
        <v>30</v>
      </c>
      <c r="K22" s="1">
        <v>1009</v>
      </c>
      <c r="L22" s="1">
        <v>20</v>
      </c>
      <c r="M22" s="1">
        <f t="shared" si="0"/>
        <v>40</v>
      </c>
      <c r="N22" s="1">
        <v>1</v>
      </c>
      <c r="O22" s="1">
        <v>6</v>
      </c>
      <c r="P22" s="1">
        <v>10</v>
      </c>
      <c r="Q22" s="1" t="s">
        <v>57</v>
      </c>
      <c r="R22" s="1">
        <f t="shared" si="1"/>
        <v>4</v>
      </c>
      <c r="S22" s="1">
        <v>73</v>
      </c>
    </row>
    <row r="23" s="1" customFormat="1" customHeight="1" spans="3:19">
      <c r="C23" s="1">
        <v>26</v>
      </c>
      <c r="D23" s="1">
        <v>1</v>
      </c>
      <c r="E23" s="1">
        <v>0</v>
      </c>
      <c r="F23" s="1" t="s">
        <v>58</v>
      </c>
      <c r="G23" s="1">
        <v>24</v>
      </c>
      <c r="H23" s="1">
        <v>1</v>
      </c>
      <c r="I23" s="1">
        <v>999</v>
      </c>
      <c r="J23" s="1">
        <v>20</v>
      </c>
      <c r="K23" s="1">
        <v>27</v>
      </c>
      <c r="L23" s="1">
        <v>10</v>
      </c>
      <c r="M23" s="1">
        <f t="shared" si="0"/>
        <v>20</v>
      </c>
      <c r="N23" s="1">
        <v>1</v>
      </c>
      <c r="O23" s="1">
        <v>6</v>
      </c>
      <c r="P23" s="1">
        <v>10</v>
      </c>
      <c r="Q23" s="1" t="s">
        <v>59</v>
      </c>
      <c r="R23" s="1">
        <f t="shared" si="1"/>
        <v>4</v>
      </c>
      <c r="S23" s="1">
        <v>73</v>
      </c>
    </row>
    <row r="24" s="1" customFormat="1" customHeight="1" spans="3:19">
      <c r="C24" s="1">
        <v>27</v>
      </c>
      <c r="D24" s="1">
        <v>1</v>
      </c>
      <c r="E24" s="1">
        <v>0</v>
      </c>
      <c r="F24" s="1" t="s">
        <v>60</v>
      </c>
      <c r="G24" s="1">
        <v>24</v>
      </c>
      <c r="H24" s="1">
        <v>1</v>
      </c>
      <c r="I24" s="1">
        <v>999</v>
      </c>
      <c r="J24" s="1">
        <v>20</v>
      </c>
      <c r="K24" s="1">
        <v>28</v>
      </c>
      <c r="L24" s="1">
        <v>10</v>
      </c>
      <c r="M24" s="1">
        <f t="shared" si="0"/>
        <v>20</v>
      </c>
      <c r="N24" s="1">
        <v>1</v>
      </c>
      <c r="O24" s="1">
        <v>6</v>
      </c>
      <c r="P24" s="1">
        <v>10</v>
      </c>
      <c r="Q24" s="1" t="s">
        <v>61</v>
      </c>
      <c r="R24" s="1">
        <f t="shared" si="1"/>
        <v>4</v>
      </c>
      <c r="S24" s="1">
        <v>73</v>
      </c>
    </row>
    <row r="25" s="1" customFormat="1" customHeight="1" spans="3:19">
      <c r="C25" s="1">
        <v>28</v>
      </c>
      <c r="D25" s="1">
        <v>1</v>
      </c>
      <c r="E25" s="1">
        <v>0</v>
      </c>
      <c r="F25" s="1" t="s">
        <v>62</v>
      </c>
      <c r="G25" s="1">
        <v>36</v>
      </c>
      <c r="H25" s="1">
        <v>1</v>
      </c>
      <c r="I25" s="1">
        <v>999</v>
      </c>
      <c r="J25" s="1">
        <v>5</v>
      </c>
      <c r="K25" s="1">
        <v>10004</v>
      </c>
      <c r="L25" s="1">
        <v>5</v>
      </c>
      <c r="M25" s="1">
        <f t="shared" si="0"/>
        <v>10</v>
      </c>
      <c r="N25" s="1">
        <v>1</v>
      </c>
      <c r="O25" s="1">
        <v>6</v>
      </c>
      <c r="P25" s="1">
        <v>10</v>
      </c>
      <c r="Q25" s="1" t="s">
        <v>63</v>
      </c>
      <c r="R25" s="1">
        <f t="shared" si="1"/>
        <v>3</v>
      </c>
      <c r="S25" s="1">
        <v>73</v>
      </c>
    </row>
    <row r="26" s="1" customFormat="1" customHeight="1" spans="3:19">
      <c r="C26" s="1">
        <v>29</v>
      </c>
      <c r="D26" s="1">
        <v>1</v>
      </c>
      <c r="E26" s="1">
        <v>0</v>
      </c>
      <c r="F26" s="1" t="s">
        <v>64</v>
      </c>
      <c r="G26" s="1">
        <v>36</v>
      </c>
      <c r="H26" s="1">
        <v>1</v>
      </c>
      <c r="I26" s="1">
        <v>999</v>
      </c>
      <c r="J26" s="1">
        <v>5</v>
      </c>
      <c r="K26" s="1">
        <v>10005</v>
      </c>
      <c r="L26" s="1">
        <v>5</v>
      </c>
      <c r="M26" s="1">
        <f t="shared" si="0"/>
        <v>10</v>
      </c>
      <c r="N26" s="1">
        <v>1</v>
      </c>
      <c r="O26" s="1">
        <v>6</v>
      </c>
      <c r="P26" s="1">
        <v>10</v>
      </c>
      <c r="Q26" s="1" t="s">
        <v>65</v>
      </c>
      <c r="R26" s="1">
        <f t="shared" si="1"/>
        <v>3</v>
      </c>
      <c r="S26" s="1">
        <v>73</v>
      </c>
    </row>
    <row r="27" s="1" customFormat="1" customHeight="1" spans="3:19">
      <c r="C27" s="1">
        <v>30</v>
      </c>
      <c r="D27" s="1">
        <v>1</v>
      </c>
      <c r="E27" s="1">
        <v>0</v>
      </c>
      <c r="F27" s="1" t="s">
        <v>66</v>
      </c>
      <c r="G27" s="1">
        <v>36</v>
      </c>
      <c r="H27" s="1">
        <v>1</v>
      </c>
      <c r="I27" s="1">
        <v>999</v>
      </c>
      <c r="J27" s="1">
        <v>5</v>
      </c>
      <c r="K27" s="1">
        <v>10006</v>
      </c>
      <c r="L27" s="1">
        <v>5</v>
      </c>
      <c r="M27" s="1">
        <f t="shared" si="0"/>
        <v>10</v>
      </c>
      <c r="N27" s="1">
        <v>1</v>
      </c>
      <c r="O27" s="1">
        <v>6</v>
      </c>
      <c r="P27" s="1">
        <v>10</v>
      </c>
      <c r="Q27" s="1" t="s">
        <v>67</v>
      </c>
      <c r="R27" s="1">
        <f t="shared" si="1"/>
        <v>3</v>
      </c>
      <c r="S27" s="1">
        <v>73</v>
      </c>
    </row>
    <row r="28" s="1" customFormat="1" customHeight="1" spans="3:19">
      <c r="C28" s="1">
        <v>31</v>
      </c>
      <c r="D28" s="1">
        <v>1</v>
      </c>
      <c r="E28" s="1">
        <v>0</v>
      </c>
      <c r="F28" s="1" t="s">
        <v>68</v>
      </c>
      <c r="G28" s="1">
        <v>36</v>
      </c>
      <c r="H28" s="1">
        <v>1</v>
      </c>
      <c r="I28" s="1">
        <v>999</v>
      </c>
      <c r="J28" s="1">
        <v>5</v>
      </c>
      <c r="K28" s="1">
        <v>10001</v>
      </c>
      <c r="L28" s="1">
        <v>5</v>
      </c>
      <c r="M28" s="1">
        <f t="shared" si="0"/>
        <v>10</v>
      </c>
      <c r="N28" s="1">
        <v>1</v>
      </c>
      <c r="O28" s="1">
        <v>6</v>
      </c>
      <c r="P28" s="1">
        <v>10</v>
      </c>
      <c r="Q28" s="1" t="s">
        <v>69</v>
      </c>
      <c r="R28" s="1">
        <f t="shared" si="1"/>
        <v>3</v>
      </c>
      <c r="S28" s="1">
        <v>73</v>
      </c>
    </row>
    <row r="29" s="1" customFormat="1" customHeight="1" spans="3:19">
      <c r="C29" s="1">
        <v>32</v>
      </c>
      <c r="D29" s="1">
        <v>1</v>
      </c>
      <c r="E29" s="1">
        <v>0</v>
      </c>
      <c r="F29" s="1" t="s">
        <v>70</v>
      </c>
      <c r="G29" s="1">
        <v>36</v>
      </c>
      <c r="H29" s="1">
        <v>1</v>
      </c>
      <c r="I29" s="1">
        <v>999</v>
      </c>
      <c r="J29" s="1">
        <v>5</v>
      </c>
      <c r="K29" s="1">
        <v>10002</v>
      </c>
      <c r="L29" s="1">
        <v>5</v>
      </c>
      <c r="M29" s="1">
        <f t="shared" si="0"/>
        <v>10</v>
      </c>
      <c r="N29" s="1">
        <v>1</v>
      </c>
      <c r="O29" s="1">
        <v>6</v>
      </c>
      <c r="P29" s="1">
        <v>10</v>
      </c>
      <c r="Q29" s="1" t="s">
        <v>71</v>
      </c>
      <c r="R29" s="1">
        <f t="shared" si="1"/>
        <v>3</v>
      </c>
      <c r="S29" s="1">
        <v>73</v>
      </c>
    </row>
    <row r="30" s="1" customFormat="1" customHeight="1" spans="3:19">
      <c r="C30" s="1">
        <v>33</v>
      </c>
      <c r="D30" s="1">
        <v>1</v>
      </c>
      <c r="E30" s="1">
        <v>0</v>
      </c>
      <c r="F30" s="1" t="s">
        <v>72</v>
      </c>
      <c r="G30" s="1">
        <v>36</v>
      </c>
      <c r="H30" s="1">
        <v>1</v>
      </c>
      <c r="I30" s="1">
        <v>999</v>
      </c>
      <c r="J30" s="1">
        <v>5</v>
      </c>
      <c r="K30" s="1">
        <v>10028</v>
      </c>
      <c r="L30" s="1">
        <v>5</v>
      </c>
      <c r="M30" s="1">
        <f t="shared" si="0"/>
        <v>10</v>
      </c>
      <c r="N30" s="1">
        <v>1</v>
      </c>
      <c r="O30" s="1">
        <v>6</v>
      </c>
      <c r="P30" s="1">
        <v>10</v>
      </c>
      <c r="Q30" s="1" t="s">
        <v>73</v>
      </c>
      <c r="R30" s="1">
        <f t="shared" si="1"/>
        <v>3</v>
      </c>
      <c r="S30" s="1">
        <v>73</v>
      </c>
    </row>
    <row r="31" s="1" customFormat="1" customHeight="1" spans="3:19">
      <c r="E31" s="3"/>
    </row>
    <row r="32" s="1" customFormat="1" customHeight="1" spans="3:19">
      <c r="E32" s="3"/>
    </row>
    <row r="33" s="1" customFormat="1" customHeight="1" spans="3:19">
      <c r="C33" s="1">
        <v>81</v>
      </c>
      <c r="D33" s="1">
        <v>1</v>
      </c>
      <c r="E33" s="1">
        <v>0</v>
      </c>
      <c r="F33" s="1" t="s">
        <v>74</v>
      </c>
      <c r="G33" s="1">
        <v>24</v>
      </c>
      <c r="H33" s="1">
        <v>1</v>
      </c>
      <c r="I33" s="1">
        <v>999</v>
      </c>
      <c r="J33" s="1">
        <v>10</v>
      </c>
      <c r="K33" s="1">
        <v>81</v>
      </c>
      <c r="L33" s="1">
        <v>5</v>
      </c>
      <c r="M33" s="1">
        <f t="shared" ref="M33:M38" si="2">L33*2</f>
        <v>10</v>
      </c>
      <c r="N33" s="1">
        <v>1</v>
      </c>
      <c r="O33" s="1">
        <v>3</v>
      </c>
      <c r="P33" s="1">
        <v>10</v>
      </c>
      <c r="Q33" s="1" t="s">
        <v>75</v>
      </c>
      <c r="R33" s="1">
        <f t="shared" ref="R33:R38" si="3">INT((S33-H33)/G33)+1</f>
        <v>4</v>
      </c>
      <c r="S33" s="1">
        <v>73</v>
      </c>
    </row>
    <row r="34" s="1" customFormat="1" customHeight="1" spans="3:19">
      <c r="C34" s="1">
        <v>82</v>
      </c>
      <c r="D34" s="1">
        <v>1</v>
      </c>
      <c r="E34" s="1">
        <v>0</v>
      </c>
      <c r="F34" s="1" t="s">
        <v>76</v>
      </c>
      <c r="G34" s="1">
        <v>24</v>
      </c>
      <c r="H34" s="1">
        <v>1</v>
      </c>
      <c r="I34" s="1">
        <v>999</v>
      </c>
      <c r="J34" s="1">
        <v>10</v>
      </c>
      <c r="K34" s="1">
        <v>82</v>
      </c>
      <c r="L34" s="1">
        <v>5</v>
      </c>
      <c r="M34" s="1">
        <f t="shared" si="2"/>
        <v>10</v>
      </c>
      <c r="N34" s="1">
        <v>1</v>
      </c>
      <c r="O34" s="1">
        <v>3</v>
      </c>
      <c r="P34" s="1">
        <v>10</v>
      </c>
      <c r="Q34" s="1" t="s">
        <v>77</v>
      </c>
      <c r="R34" s="1">
        <f t="shared" si="3"/>
        <v>4</v>
      </c>
      <c r="S34" s="1">
        <v>73</v>
      </c>
    </row>
    <row r="35" s="1" customFormat="1" customHeight="1" spans="3:19">
      <c r="C35" s="1">
        <v>83</v>
      </c>
      <c r="D35" s="1">
        <v>1</v>
      </c>
      <c r="E35" s="1">
        <v>0</v>
      </c>
      <c r="F35" s="1" t="s">
        <v>78</v>
      </c>
      <c r="G35" s="1">
        <v>24</v>
      </c>
      <c r="H35" s="1">
        <v>1</v>
      </c>
      <c r="I35" s="1">
        <v>999</v>
      </c>
      <c r="J35" s="1">
        <v>10</v>
      </c>
      <c r="K35" s="1">
        <v>83</v>
      </c>
      <c r="L35" s="1">
        <v>3</v>
      </c>
      <c r="M35" s="1">
        <f t="shared" si="2"/>
        <v>6</v>
      </c>
      <c r="N35" s="1">
        <v>1</v>
      </c>
      <c r="O35" s="1">
        <v>3</v>
      </c>
      <c r="P35" s="1">
        <v>10</v>
      </c>
      <c r="Q35" s="1" t="s">
        <v>79</v>
      </c>
      <c r="R35" s="1">
        <f t="shared" si="3"/>
        <v>4</v>
      </c>
      <c r="S35" s="1">
        <v>73</v>
      </c>
    </row>
    <row r="36" s="1" customFormat="1" customHeight="1" spans="3:19">
      <c r="C36" s="1">
        <v>84</v>
      </c>
      <c r="D36" s="1">
        <v>1</v>
      </c>
      <c r="E36" s="1">
        <v>0</v>
      </c>
      <c r="F36" s="1" t="s">
        <v>80</v>
      </c>
      <c r="G36" s="1">
        <v>24</v>
      </c>
      <c r="H36" s="1">
        <v>1</v>
      </c>
      <c r="I36" s="1">
        <v>999</v>
      </c>
      <c r="J36" s="1">
        <v>10</v>
      </c>
      <c r="K36" s="1">
        <v>84</v>
      </c>
      <c r="L36" s="1">
        <v>3</v>
      </c>
      <c r="M36" s="1">
        <f t="shared" si="2"/>
        <v>6</v>
      </c>
      <c r="N36" s="1">
        <v>1</v>
      </c>
      <c r="O36" s="1">
        <v>3</v>
      </c>
      <c r="P36" s="1">
        <v>10</v>
      </c>
      <c r="Q36" s="1" t="s">
        <v>81</v>
      </c>
      <c r="R36" s="1">
        <f t="shared" si="3"/>
        <v>4</v>
      </c>
      <c r="S36" s="1">
        <v>73</v>
      </c>
    </row>
    <row r="37" s="1" customFormat="1" customHeight="1" spans="3:19">
      <c r="C37" s="1">
        <v>85</v>
      </c>
      <c r="D37" s="1">
        <v>1</v>
      </c>
      <c r="E37" s="1">
        <v>0</v>
      </c>
      <c r="F37" s="1" t="s">
        <v>82</v>
      </c>
      <c r="G37" s="1">
        <v>24</v>
      </c>
      <c r="H37" s="1">
        <v>1</v>
      </c>
      <c r="I37" s="1">
        <v>999</v>
      </c>
      <c r="J37" s="1">
        <v>10</v>
      </c>
      <c r="K37" s="1">
        <v>85</v>
      </c>
      <c r="L37" s="1">
        <v>10</v>
      </c>
      <c r="M37" s="1">
        <f t="shared" si="2"/>
        <v>20</v>
      </c>
      <c r="N37" s="1">
        <v>1</v>
      </c>
      <c r="O37" s="1">
        <v>3</v>
      </c>
      <c r="P37" s="1">
        <v>10</v>
      </c>
      <c r="Q37" s="1" t="s">
        <v>83</v>
      </c>
      <c r="R37" s="1">
        <f t="shared" si="3"/>
        <v>4</v>
      </c>
      <c r="S37" s="1">
        <v>73</v>
      </c>
    </row>
    <row r="38" s="1" customFormat="1" customHeight="1" spans="3:19">
      <c r="C38" s="1">
        <v>86</v>
      </c>
      <c r="D38" s="1">
        <v>1</v>
      </c>
      <c r="E38" s="1">
        <v>0</v>
      </c>
      <c r="F38" s="1" t="s">
        <v>84</v>
      </c>
      <c r="G38" s="1">
        <v>24</v>
      </c>
      <c r="H38" s="1">
        <v>1</v>
      </c>
      <c r="I38" s="1">
        <v>999</v>
      </c>
      <c r="J38" s="1">
        <v>10</v>
      </c>
      <c r="K38" s="1">
        <v>86</v>
      </c>
      <c r="L38" s="1">
        <v>10</v>
      </c>
      <c r="M38" s="1">
        <f t="shared" si="2"/>
        <v>20</v>
      </c>
      <c r="N38" s="1">
        <v>1</v>
      </c>
      <c r="O38" s="1">
        <v>3</v>
      </c>
      <c r="P38" s="1">
        <v>10</v>
      </c>
      <c r="Q38" s="1" t="s">
        <v>85</v>
      </c>
      <c r="R38" s="1">
        <f t="shared" si="3"/>
        <v>4</v>
      </c>
      <c r="S38" s="1">
        <v>73</v>
      </c>
    </row>
    <row r="39" s="1" customFormat="1" customHeight="1" spans="3:19">
      <c r="E39" s="6"/>
    </row>
    <row r="40" customHeight="1" spans="3:19">
      <c r="E40" s="5"/>
    </row>
    <row r="41" customHeight="1" spans="3:19">
      <c r="E41" s="3"/>
    </row>
    <row r="42" customHeight="1" spans="3:19">
      <c r="E42" s="3"/>
    </row>
    <row r="43" customHeight="1" spans="3:19">
      <c r="E43" s="4"/>
    </row>
    <row r="44" customHeight="1" spans="3:19">
      <c r="E44" s="3"/>
    </row>
    <row r="45" customHeight="1" spans="3:19">
      <c r="E45" s="4"/>
    </row>
    <row r="46" customHeight="1" spans="3:19">
      <c r="E46" s="5"/>
    </row>
    <row r="47" customHeight="1" spans="3:19">
      <c r="E47" s="3"/>
    </row>
    <row r="48" customHeight="1" spans="3:19">
      <c r="E48" s="3"/>
    </row>
    <row r="49" customHeight="1" spans="5:5">
      <c r="E49" s="3"/>
    </row>
    <row r="50" customHeight="1" spans="5:5">
      <c r="E50" s="3"/>
    </row>
    <row r="51" customHeight="1" spans="5:5">
      <c r="E51" s="3"/>
    </row>
    <row r="52" customHeight="1" spans="5:5">
      <c r="E52" s="5"/>
    </row>
    <row r="53" customHeight="1" spans="5:5">
      <c r="E53" s="6"/>
    </row>
    <row r="54" customHeight="1" spans="5:5">
      <c r="E54" s="3"/>
    </row>
    <row r="55" customHeight="1" spans="5:5">
      <c r="E55" s="6"/>
    </row>
    <row r="56" customHeight="1" spans="5:5">
      <c r="E56" s="3"/>
    </row>
    <row r="57" customHeight="1" spans="5:5">
      <c r="E57" s="4"/>
    </row>
    <row r="58" customHeight="1" spans="5:5">
      <c r="E58" s="6"/>
    </row>
    <row r="59" customHeight="1" spans="5:5">
      <c r="E59" s="3"/>
    </row>
    <row r="60" customHeight="1" spans="5:5">
      <c r="E60" s="3"/>
    </row>
    <row r="61" customHeight="1" spans="5:5">
      <c r="E61" s="3"/>
    </row>
    <row r="62" customHeight="1" spans="5:5">
      <c r="E62" s="4"/>
    </row>
    <row r="63" customHeight="1" spans="5:5">
      <c r="E63" s="3"/>
    </row>
    <row r="64" customHeight="1" spans="5:5">
      <c r="E64" s="5"/>
    </row>
    <row r="65" customHeight="1" spans="5:5">
      <c r="E65" s="3"/>
    </row>
    <row r="66" customHeight="1" spans="5:5">
      <c r="E66" s="3"/>
    </row>
    <row r="67" customHeight="1" spans="5:5">
      <c r="E67" s="3"/>
    </row>
    <row r="68" customHeight="1" spans="5:5">
      <c r="E68" s="3"/>
    </row>
    <row r="69" customHeight="1" spans="5:5">
      <c r="E69" s="3"/>
    </row>
    <row r="70" customHeight="1" spans="5:5">
      <c r="E70" s="5"/>
    </row>
    <row r="71" customHeight="1" spans="5:5">
      <c r="E71" s="3"/>
    </row>
    <row r="72" customHeight="1" spans="5:5">
      <c r="E72" s="3"/>
    </row>
    <row r="73" customHeight="1" spans="5:5">
      <c r="E73" s="3"/>
    </row>
    <row r="74" customHeight="1" spans="5:5">
      <c r="E74" s="6"/>
    </row>
    <row r="75" customHeight="1" spans="5:5">
      <c r="E75" s="3"/>
    </row>
    <row r="76" customHeight="1" spans="5:5">
      <c r="E76" s="5"/>
    </row>
    <row r="77" customHeight="1" spans="5:5">
      <c r="E77" s="3"/>
    </row>
    <row r="78" customHeight="1" spans="5:5">
      <c r="E78" s="4"/>
    </row>
    <row r="79" customHeight="1" spans="5:5">
      <c r="E79" s="3"/>
    </row>
    <row r="80" customHeight="1" spans="5:5">
      <c r="E80" s="3"/>
    </row>
    <row r="81" customHeight="1" spans="5:5">
      <c r="E81" s="3"/>
    </row>
    <row r="82" customHeight="1" spans="5:5">
      <c r="E82" s="5"/>
    </row>
    <row r="83" customHeight="1" spans="5:5">
      <c r="E83" s="3"/>
    </row>
    <row r="84" customHeight="1" spans="5:5">
      <c r="E84" s="3"/>
    </row>
    <row r="85" customHeight="1" spans="5:5">
      <c r="E85" s="3"/>
    </row>
    <row r="86" customHeight="1" spans="5:5">
      <c r="E86" s="3"/>
    </row>
    <row r="87" customHeight="1" spans="5:5">
      <c r="E87" s="6"/>
    </row>
    <row r="88" customHeight="1" spans="5:5">
      <c r="E88" s="5"/>
    </row>
    <row r="97" customHeight="1" spans="8:9">
      <c r="H97" s="7"/>
      <c r="I97" s="7"/>
    </row>
    <row r="98" customHeight="1" spans="8:9">
      <c r="H98" s="7"/>
      <c r="I98" s="7"/>
    </row>
    <row r="117" customHeight="1" spans="6:17">
      <c r="F117" s="7"/>
      <c r="G117" s="7"/>
      <c r="Q117" s="7"/>
    </row>
    <row r="118" customHeight="1" spans="6:17">
      <c r="F118" s="7"/>
      <c r="G118" s="7"/>
      <c r="Q118" s="7"/>
    </row>
  </sheetData>
  <dataValidations count="1">
    <dataValidation type="custom" allowBlank="1" showErrorMessage="1" errorTitle="拒绝重复输入" error="当前输入的内容，与本区域的其他单元格内容重复。" sqref="O3:O5 Q3:Q5 C3:I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S55"/>
  <sheetViews>
    <sheetView tabSelected="1" workbookViewId="0">
      <selection activeCell="M40" sqref="M40"/>
    </sheetView>
  </sheetViews>
  <sheetFormatPr defaultColWidth="9" defaultRowHeight="18" customHeight="1"/>
  <cols>
    <col min="1" max="4" width="9" style="1"/>
    <col min="5" max="5" width="12.8333333333333" style="1" customWidth="1"/>
    <col min="6" max="10" width="13" style="1" customWidth="1"/>
    <col min="11" max="11" width="17" style="1" customWidth="1"/>
    <col min="12" max="12" width="11.1666666666667" style="1" customWidth="1"/>
    <col min="13" max="13" width="12.6666666666667" style="1" customWidth="1"/>
    <col min="14" max="15" width="13.8333333333333" style="1" customWidth="1"/>
    <col min="16" max="16" width="9" style="1"/>
    <col min="17" max="17" width="23.5833333333333" style="1" customWidth="1"/>
    <col min="18" max="18" width="14.75" style="1" customWidth="1"/>
    <col min="19" max="16384" width="9" style="1"/>
  </cols>
  <sheetData>
    <row r="1" customHeight="1" spans="3:19">
      <c r="Q1" s="1" t="s">
        <v>0</v>
      </c>
      <c r="R1" s="1" t="s">
        <v>0</v>
      </c>
      <c r="S1" s="1" t="s">
        <v>0</v>
      </c>
    </row>
    <row r="2" customHeight="1" spans="3:19">
      <c r="Q2" s="1" t="s">
        <v>0</v>
      </c>
      <c r="R2" s="1" t="s">
        <v>0</v>
      </c>
      <c r="S2" s="1" t="s">
        <v>0</v>
      </c>
    </row>
    <row r="3" s="1" customFormat="1" customHeight="1" spans="3:19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1" t="s">
        <v>16</v>
      </c>
    </row>
    <row r="4" s="1" customFormat="1" customHeight="1" spans="3:19">
      <c r="C4" s="2" t="s">
        <v>17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="1" customFormat="1" customHeight="1" spans="3:19">
      <c r="C5" s="2" t="s">
        <v>18</v>
      </c>
      <c r="D5" s="2" t="s">
        <v>18</v>
      </c>
      <c r="E5" s="2" t="s">
        <v>18</v>
      </c>
      <c r="F5" s="2" t="s">
        <v>19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20</v>
      </c>
      <c r="L5" s="2" t="s">
        <v>20</v>
      </c>
      <c r="M5" s="2" t="s">
        <v>20</v>
      </c>
      <c r="N5" s="2" t="s">
        <v>20</v>
      </c>
      <c r="O5" s="2" t="s">
        <v>18</v>
      </c>
      <c r="P5" s="2" t="s">
        <v>18</v>
      </c>
      <c r="Q5" s="2" t="s">
        <v>19</v>
      </c>
    </row>
    <row r="6" s="1" customFormat="1" customHeight="1" spans="3:19">
      <c r="C6" s="1">
        <v>1001</v>
      </c>
      <c r="D6" s="1">
        <v>2</v>
      </c>
      <c r="E6" s="1">
        <v>0</v>
      </c>
      <c r="F6" s="1" t="s">
        <v>86</v>
      </c>
      <c r="G6" s="1">
        <v>9</v>
      </c>
      <c r="H6" s="1">
        <v>1</v>
      </c>
      <c r="I6" s="1">
        <v>999</v>
      </c>
      <c r="J6" s="1">
        <v>100</v>
      </c>
      <c r="K6" s="8" t="s">
        <v>87</v>
      </c>
      <c r="L6" s="8" t="s">
        <v>88</v>
      </c>
      <c r="M6" s="8" t="s">
        <v>89</v>
      </c>
      <c r="N6" s="8" t="s">
        <v>90</v>
      </c>
      <c r="O6" s="1">
        <v>1</v>
      </c>
      <c r="P6" s="1">
        <v>99</v>
      </c>
      <c r="Q6" s="1" t="s">
        <v>91</v>
      </c>
      <c r="R6" s="1">
        <f t="shared" ref="R6:R26" si="0">INT((S6-H6)/G6)+1</f>
        <v>9</v>
      </c>
      <c r="S6" s="1">
        <v>73</v>
      </c>
    </row>
    <row r="7" s="1" customFormat="1" customHeight="1" spans="3:19">
      <c r="C7" s="1">
        <v>1002</v>
      </c>
      <c r="D7" s="1">
        <v>2</v>
      </c>
      <c r="E7" s="1">
        <v>0</v>
      </c>
      <c r="F7" s="1" t="s">
        <v>92</v>
      </c>
      <c r="G7" s="1">
        <v>9</v>
      </c>
      <c r="H7" s="1">
        <v>1</v>
      </c>
      <c r="I7" s="1">
        <v>999</v>
      </c>
      <c r="J7" s="1">
        <v>100</v>
      </c>
      <c r="K7" s="8" t="s">
        <v>93</v>
      </c>
      <c r="L7" s="8" t="s">
        <v>88</v>
      </c>
      <c r="M7" s="8" t="s">
        <v>89</v>
      </c>
      <c r="N7" s="8" t="s">
        <v>90</v>
      </c>
      <c r="O7" s="1">
        <v>1</v>
      </c>
      <c r="P7" s="1">
        <v>99</v>
      </c>
      <c r="Q7" s="1" t="s">
        <v>94</v>
      </c>
      <c r="R7" s="1">
        <f t="shared" si="0"/>
        <v>9</v>
      </c>
      <c r="S7" s="1">
        <v>73</v>
      </c>
    </row>
    <row r="8" s="1" customFormat="1" customHeight="1" spans="3:19">
      <c r="C8" s="1">
        <v>1003</v>
      </c>
      <c r="D8" s="1">
        <v>2</v>
      </c>
      <c r="E8" s="1">
        <v>0</v>
      </c>
      <c r="F8" s="1" t="s">
        <v>95</v>
      </c>
      <c r="G8" s="1">
        <v>9</v>
      </c>
      <c r="H8" s="1">
        <v>1</v>
      </c>
      <c r="I8" s="1">
        <v>999</v>
      </c>
      <c r="J8" s="1">
        <v>100</v>
      </c>
      <c r="K8" s="8" t="s">
        <v>96</v>
      </c>
      <c r="L8" s="8" t="s">
        <v>88</v>
      </c>
      <c r="M8" s="8" t="s">
        <v>89</v>
      </c>
      <c r="N8" s="8" t="s">
        <v>90</v>
      </c>
      <c r="O8" s="1">
        <v>1</v>
      </c>
      <c r="P8" s="1">
        <v>99</v>
      </c>
      <c r="Q8" s="1" t="s">
        <v>97</v>
      </c>
      <c r="R8" s="1">
        <f t="shared" si="0"/>
        <v>9</v>
      </c>
      <c r="S8" s="1">
        <v>73</v>
      </c>
    </row>
    <row r="9" s="1" customFormat="1" customHeight="1" spans="3:19">
      <c r="C9" s="1">
        <v>1004</v>
      </c>
      <c r="D9" s="1">
        <v>2</v>
      </c>
      <c r="E9" s="1">
        <v>0</v>
      </c>
      <c r="F9" s="1" t="s">
        <v>98</v>
      </c>
      <c r="G9" s="1">
        <v>36</v>
      </c>
      <c r="H9" s="1">
        <v>19</v>
      </c>
      <c r="I9" s="1">
        <v>999</v>
      </c>
      <c r="J9" s="1">
        <v>10</v>
      </c>
      <c r="K9" s="8" t="s">
        <v>99</v>
      </c>
      <c r="L9" s="8" t="s">
        <v>100</v>
      </c>
      <c r="M9" s="8" t="s">
        <v>101</v>
      </c>
      <c r="N9" s="8" t="s">
        <v>90</v>
      </c>
      <c r="O9" s="1">
        <v>5</v>
      </c>
      <c r="P9" s="1">
        <v>99</v>
      </c>
      <c r="Q9" s="1" t="s">
        <v>102</v>
      </c>
      <c r="R9" s="1">
        <f t="shared" si="0"/>
        <v>2</v>
      </c>
      <c r="S9" s="1">
        <v>73</v>
      </c>
    </row>
    <row r="10" s="1" customFormat="1" customHeight="1" spans="3:19">
      <c r="C10" s="1">
        <v>1005</v>
      </c>
      <c r="D10" s="1">
        <v>2</v>
      </c>
      <c r="E10" s="1">
        <v>0</v>
      </c>
      <c r="F10" s="1" t="s">
        <v>103</v>
      </c>
      <c r="G10" s="1">
        <v>36</v>
      </c>
      <c r="H10" s="1">
        <v>19</v>
      </c>
      <c r="I10" s="1">
        <v>999</v>
      </c>
      <c r="J10" s="1">
        <v>10</v>
      </c>
      <c r="K10" s="8" t="s">
        <v>104</v>
      </c>
      <c r="L10" s="8" t="s">
        <v>105</v>
      </c>
      <c r="M10" s="8" t="s">
        <v>106</v>
      </c>
      <c r="N10" s="8" t="s">
        <v>90</v>
      </c>
      <c r="O10" s="1">
        <v>5</v>
      </c>
      <c r="P10" s="1">
        <v>99</v>
      </c>
      <c r="Q10" s="1" t="s">
        <v>107</v>
      </c>
      <c r="R10" s="1">
        <f t="shared" si="0"/>
        <v>2</v>
      </c>
      <c r="S10" s="1">
        <v>73</v>
      </c>
    </row>
    <row r="11" s="1" customFormat="1" customHeight="1" spans="3:19">
      <c r="C11" s="1">
        <v>1006</v>
      </c>
      <c r="D11" s="1">
        <v>2</v>
      </c>
      <c r="E11" s="1">
        <v>0</v>
      </c>
      <c r="F11" s="1" t="s">
        <v>108</v>
      </c>
      <c r="G11" s="1">
        <v>24</v>
      </c>
      <c r="H11" s="1">
        <v>13</v>
      </c>
      <c r="I11" s="1">
        <v>999</v>
      </c>
      <c r="J11" s="1">
        <v>30</v>
      </c>
      <c r="K11" s="8" t="s">
        <v>109</v>
      </c>
      <c r="L11" s="8" t="s">
        <v>110</v>
      </c>
      <c r="M11" s="8" t="s">
        <v>111</v>
      </c>
      <c r="N11" s="8" t="s">
        <v>90</v>
      </c>
      <c r="O11" s="1">
        <v>5</v>
      </c>
      <c r="P11" s="1">
        <v>99</v>
      </c>
      <c r="Q11" s="1" t="s">
        <v>112</v>
      </c>
      <c r="R11" s="1">
        <f t="shared" si="0"/>
        <v>3</v>
      </c>
      <c r="S11" s="1">
        <v>73</v>
      </c>
    </row>
    <row r="12" s="1" customFormat="1" customHeight="1" spans="3:19">
      <c r="C12" s="1">
        <v>1007</v>
      </c>
      <c r="D12" s="1">
        <v>2</v>
      </c>
      <c r="E12" s="1">
        <v>0</v>
      </c>
      <c r="F12" s="1" t="s">
        <v>113</v>
      </c>
      <c r="G12" s="1">
        <v>24</v>
      </c>
      <c r="H12" s="1">
        <v>13</v>
      </c>
      <c r="I12" s="1">
        <v>999</v>
      </c>
      <c r="J12" s="1">
        <v>50</v>
      </c>
      <c r="K12" s="8" t="s">
        <v>114</v>
      </c>
      <c r="L12" s="8" t="s">
        <v>111</v>
      </c>
      <c r="M12" s="8" t="s">
        <v>115</v>
      </c>
      <c r="N12" s="8" t="s">
        <v>90</v>
      </c>
      <c r="O12" s="1">
        <v>4</v>
      </c>
      <c r="P12" s="1">
        <v>99</v>
      </c>
      <c r="Q12" s="1" t="s">
        <v>116</v>
      </c>
      <c r="R12" s="1">
        <f t="shared" si="0"/>
        <v>3</v>
      </c>
      <c r="S12" s="1">
        <v>73</v>
      </c>
    </row>
    <row r="13" s="1" customFormat="1" customHeight="1" spans="3:19">
      <c r="C13" s="1">
        <v>1008</v>
      </c>
      <c r="D13" s="1">
        <v>2</v>
      </c>
      <c r="E13" s="1">
        <v>0</v>
      </c>
      <c r="F13" s="1" t="s">
        <v>117</v>
      </c>
      <c r="G13" s="1">
        <v>24</v>
      </c>
      <c r="H13" s="1">
        <v>13</v>
      </c>
      <c r="I13" s="1">
        <v>999</v>
      </c>
      <c r="J13" s="1">
        <v>50</v>
      </c>
      <c r="K13" s="8" t="s">
        <v>118</v>
      </c>
      <c r="L13" s="8" t="s">
        <v>111</v>
      </c>
      <c r="M13" s="8" t="s">
        <v>115</v>
      </c>
      <c r="N13" s="8" t="s">
        <v>90</v>
      </c>
      <c r="O13" s="1">
        <v>4</v>
      </c>
      <c r="P13" s="1">
        <v>99</v>
      </c>
      <c r="Q13" s="1" t="s">
        <v>119</v>
      </c>
      <c r="R13" s="1">
        <f t="shared" si="0"/>
        <v>3</v>
      </c>
      <c r="S13" s="1">
        <v>73</v>
      </c>
    </row>
    <row r="14" s="1" customFormat="1" customHeight="1" spans="3:19">
      <c r="C14" s="1">
        <v>1009</v>
      </c>
      <c r="D14" s="1">
        <v>2</v>
      </c>
      <c r="E14" s="1">
        <v>0</v>
      </c>
      <c r="F14" s="1" t="s">
        <v>120</v>
      </c>
      <c r="G14" s="1">
        <v>24</v>
      </c>
      <c r="H14" s="1">
        <v>13</v>
      </c>
      <c r="I14" s="1">
        <v>999</v>
      </c>
      <c r="J14" s="1">
        <v>25</v>
      </c>
      <c r="K14" s="8" t="s">
        <v>121</v>
      </c>
      <c r="L14" s="8" t="s">
        <v>111</v>
      </c>
      <c r="M14" s="8" t="s">
        <v>115</v>
      </c>
      <c r="N14" s="8" t="s">
        <v>90</v>
      </c>
      <c r="O14" s="1">
        <v>4</v>
      </c>
      <c r="P14" s="1">
        <v>99</v>
      </c>
      <c r="Q14" s="1" t="s">
        <v>122</v>
      </c>
      <c r="R14" s="1">
        <f t="shared" si="0"/>
        <v>3</v>
      </c>
      <c r="S14" s="1">
        <v>73</v>
      </c>
    </row>
    <row r="15" s="1" customFormat="1" customHeight="1" spans="3:19">
      <c r="C15" s="1">
        <v>1010</v>
      </c>
      <c r="D15" s="1">
        <v>2</v>
      </c>
      <c r="E15" s="1">
        <v>0</v>
      </c>
      <c r="F15" s="1" t="s">
        <v>123</v>
      </c>
      <c r="G15" s="1">
        <v>24</v>
      </c>
      <c r="H15" s="1">
        <v>7</v>
      </c>
      <c r="I15" s="1">
        <v>999</v>
      </c>
      <c r="J15" s="1">
        <v>50</v>
      </c>
      <c r="K15" s="8" t="s">
        <v>124</v>
      </c>
      <c r="L15" s="8" t="s">
        <v>111</v>
      </c>
      <c r="M15" s="8" t="s">
        <v>115</v>
      </c>
      <c r="N15" s="8" t="s">
        <v>90</v>
      </c>
      <c r="O15" s="1">
        <v>1</v>
      </c>
      <c r="P15" s="1">
        <v>99</v>
      </c>
      <c r="Q15" s="1" t="s">
        <v>125</v>
      </c>
      <c r="R15" s="1">
        <f t="shared" si="0"/>
        <v>3</v>
      </c>
      <c r="S15" s="1">
        <v>73</v>
      </c>
    </row>
    <row r="16" s="1" customFormat="1" customHeight="1" spans="3:19">
      <c r="C16" s="1">
        <v>1011</v>
      </c>
      <c r="D16" s="1">
        <v>2</v>
      </c>
      <c r="E16" s="1">
        <v>0</v>
      </c>
      <c r="F16" s="1" t="s">
        <v>126</v>
      </c>
      <c r="G16" s="1">
        <v>24</v>
      </c>
      <c r="H16" s="1">
        <v>7</v>
      </c>
      <c r="I16" s="1">
        <v>999</v>
      </c>
      <c r="J16" s="1">
        <v>50</v>
      </c>
      <c r="K16" s="8" t="s">
        <v>127</v>
      </c>
      <c r="L16" s="8" t="s">
        <v>111</v>
      </c>
      <c r="M16" s="8" t="s">
        <v>115</v>
      </c>
      <c r="N16" s="8" t="s">
        <v>90</v>
      </c>
      <c r="O16" s="1">
        <v>1</v>
      </c>
      <c r="P16" s="1">
        <v>99</v>
      </c>
      <c r="Q16" s="1" t="s">
        <v>128</v>
      </c>
      <c r="R16" s="1">
        <f t="shared" si="0"/>
        <v>3</v>
      </c>
      <c r="S16" s="1">
        <v>73</v>
      </c>
    </row>
    <row r="17" s="1" customFormat="1" customHeight="1" spans="3:19">
      <c r="C17" s="1">
        <v>1012</v>
      </c>
      <c r="D17" s="1">
        <v>2</v>
      </c>
      <c r="E17" s="1">
        <v>0</v>
      </c>
      <c r="F17" s="1" t="s">
        <v>129</v>
      </c>
      <c r="G17" s="1">
        <v>24</v>
      </c>
      <c r="H17" s="1">
        <v>7</v>
      </c>
      <c r="I17" s="1">
        <v>999</v>
      </c>
      <c r="J17" s="1">
        <v>10</v>
      </c>
      <c r="K17" s="8" t="s">
        <v>130</v>
      </c>
      <c r="L17" s="8" t="s">
        <v>131</v>
      </c>
      <c r="M17" s="8" t="s">
        <v>132</v>
      </c>
      <c r="N17" s="8" t="s">
        <v>90</v>
      </c>
      <c r="O17" s="1">
        <v>1</v>
      </c>
      <c r="P17" s="1">
        <v>99</v>
      </c>
      <c r="Q17" s="1" t="s">
        <v>133</v>
      </c>
      <c r="R17" s="1">
        <f t="shared" si="0"/>
        <v>3</v>
      </c>
      <c r="S17" s="1">
        <v>73</v>
      </c>
    </row>
    <row r="18" s="1" customFormat="1" ht="16" customHeight="1" spans="3:19">
      <c r="C18" s="1">
        <v>1013</v>
      </c>
      <c r="D18" s="1">
        <v>2</v>
      </c>
      <c r="E18" s="1">
        <v>1</v>
      </c>
      <c r="F18" s="1" t="s">
        <v>134</v>
      </c>
      <c r="G18" s="1">
        <v>9</v>
      </c>
      <c r="H18" s="1">
        <v>7</v>
      </c>
      <c r="I18" s="1">
        <v>999</v>
      </c>
      <c r="J18" s="1">
        <v>100</v>
      </c>
      <c r="K18" s="8" t="s">
        <v>135</v>
      </c>
      <c r="L18" s="8" t="s">
        <v>88</v>
      </c>
      <c r="M18" s="8" t="s">
        <v>89</v>
      </c>
      <c r="N18" s="8" t="s">
        <v>90</v>
      </c>
      <c r="O18" s="1">
        <v>4</v>
      </c>
      <c r="P18" s="1">
        <v>99</v>
      </c>
      <c r="Q18" s="1" t="s">
        <v>136</v>
      </c>
      <c r="R18" s="1">
        <f t="shared" si="0"/>
        <v>8</v>
      </c>
      <c r="S18" s="1">
        <v>73</v>
      </c>
    </row>
    <row r="19" s="1" customFormat="1" ht="16" customHeight="1" spans="3:19">
      <c r="C19" s="1">
        <v>1014</v>
      </c>
      <c r="D19" s="1">
        <v>2</v>
      </c>
      <c r="E19" s="1">
        <v>2</v>
      </c>
      <c r="F19" s="1" t="s">
        <v>137</v>
      </c>
      <c r="G19" s="1">
        <v>9</v>
      </c>
      <c r="H19" s="1">
        <v>7</v>
      </c>
      <c r="I19" s="1">
        <v>999</v>
      </c>
      <c r="J19" s="1">
        <v>100</v>
      </c>
      <c r="K19" s="8" t="s">
        <v>138</v>
      </c>
      <c r="L19" s="8" t="s">
        <v>88</v>
      </c>
      <c r="M19" s="8" t="s">
        <v>89</v>
      </c>
      <c r="N19" s="8" t="s">
        <v>90</v>
      </c>
      <c r="O19" s="1">
        <v>4</v>
      </c>
      <c r="P19" s="1">
        <v>99</v>
      </c>
      <c r="Q19" s="1" t="s">
        <v>139</v>
      </c>
      <c r="R19" s="1">
        <f t="shared" si="0"/>
        <v>8</v>
      </c>
      <c r="S19" s="1">
        <v>73</v>
      </c>
    </row>
    <row r="20" s="1" customFormat="1" ht="16" customHeight="1" spans="3:19">
      <c r="C20" s="1">
        <v>1015</v>
      </c>
      <c r="D20" s="1">
        <v>2</v>
      </c>
      <c r="E20" s="1">
        <v>3</v>
      </c>
      <c r="F20" s="1" t="s">
        <v>140</v>
      </c>
      <c r="G20" s="1">
        <v>9</v>
      </c>
      <c r="H20" s="1">
        <v>7</v>
      </c>
      <c r="I20" s="1">
        <v>999</v>
      </c>
      <c r="J20" s="1">
        <v>100</v>
      </c>
      <c r="K20" s="8" t="s">
        <v>141</v>
      </c>
      <c r="L20" s="8" t="s">
        <v>88</v>
      </c>
      <c r="M20" s="8" t="s">
        <v>89</v>
      </c>
      <c r="N20" s="8" t="s">
        <v>90</v>
      </c>
      <c r="O20" s="1">
        <v>4</v>
      </c>
      <c r="P20" s="1">
        <v>99</v>
      </c>
      <c r="Q20" s="1" t="s">
        <v>142</v>
      </c>
      <c r="R20" s="1">
        <f t="shared" si="0"/>
        <v>8</v>
      </c>
      <c r="S20" s="1">
        <v>73</v>
      </c>
    </row>
    <row r="21" s="1" customFormat="1" customHeight="1" spans="3:19">
      <c r="C21" s="1">
        <v>1016</v>
      </c>
      <c r="D21" s="1">
        <v>2</v>
      </c>
      <c r="E21" s="1">
        <v>0</v>
      </c>
      <c r="F21" s="1" t="s">
        <v>143</v>
      </c>
      <c r="G21" s="1">
        <v>24</v>
      </c>
      <c r="H21" s="1">
        <v>13</v>
      </c>
      <c r="I21" s="1">
        <v>999</v>
      </c>
      <c r="J21" s="1">
        <v>50</v>
      </c>
      <c r="K21" s="8" t="s">
        <v>144</v>
      </c>
      <c r="L21" s="8" t="s">
        <v>88</v>
      </c>
      <c r="M21" s="8" t="s">
        <v>89</v>
      </c>
      <c r="N21" s="8" t="s">
        <v>90</v>
      </c>
      <c r="O21" s="1">
        <v>6</v>
      </c>
      <c r="P21" s="1">
        <v>99</v>
      </c>
      <c r="Q21" s="1" t="s">
        <v>145</v>
      </c>
      <c r="R21" s="1">
        <f t="shared" si="0"/>
        <v>3</v>
      </c>
      <c r="S21" s="1">
        <v>73</v>
      </c>
    </row>
    <row r="22" s="1" customFormat="1" customHeight="1" spans="3:19">
      <c r="C22" s="1">
        <v>1017</v>
      </c>
      <c r="D22" s="1">
        <v>2</v>
      </c>
      <c r="E22" s="1">
        <v>0</v>
      </c>
      <c r="F22" s="1" t="s">
        <v>72</v>
      </c>
      <c r="G22" s="1">
        <v>24</v>
      </c>
      <c r="H22" s="1">
        <v>13</v>
      </c>
      <c r="I22" s="1">
        <v>999</v>
      </c>
      <c r="J22" s="1">
        <v>50</v>
      </c>
      <c r="K22" s="8" t="s">
        <v>146</v>
      </c>
      <c r="L22" s="8" t="s">
        <v>88</v>
      </c>
      <c r="M22" s="8" t="s">
        <v>89</v>
      </c>
      <c r="N22" s="8" t="s">
        <v>90</v>
      </c>
      <c r="O22" s="1">
        <v>6</v>
      </c>
      <c r="P22" s="1">
        <v>99</v>
      </c>
      <c r="Q22" s="1" t="s">
        <v>147</v>
      </c>
      <c r="R22" s="1">
        <f t="shared" si="0"/>
        <v>3</v>
      </c>
      <c r="S22" s="1">
        <v>73</v>
      </c>
    </row>
    <row r="23" s="1" customFormat="1" customHeight="1" spans="3:19">
      <c r="C23" s="1">
        <v>1018</v>
      </c>
      <c r="D23" s="1">
        <v>2</v>
      </c>
      <c r="E23" s="1">
        <v>0</v>
      </c>
      <c r="F23" s="1" t="s">
        <v>148</v>
      </c>
      <c r="G23" s="1">
        <v>24</v>
      </c>
      <c r="H23" s="1">
        <v>13</v>
      </c>
      <c r="I23" s="1">
        <v>999</v>
      </c>
      <c r="J23" s="1">
        <v>50</v>
      </c>
      <c r="K23" s="8" t="s">
        <v>149</v>
      </c>
      <c r="L23" s="8" t="s">
        <v>88</v>
      </c>
      <c r="M23" s="8" t="s">
        <v>89</v>
      </c>
      <c r="N23" s="8" t="s">
        <v>90</v>
      </c>
      <c r="O23" s="1">
        <v>6</v>
      </c>
      <c r="P23" s="1">
        <v>99</v>
      </c>
      <c r="Q23" s="1" t="s">
        <v>150</v>
      </c>
      <c r="R23" s="1">
        <f t="shared" si="0"/>
        <v>3</v>
      </c>
      <c r="S23" s="1">
        <v>73</v>
      </c>
    </row>
    <row r="24" s="1" customFormat="1" customHeight="1" spans="3:19">
      <c r="C24" s="1">
        <v>1019</v>
      </c>
      <c r="D24" s="1">
        <v>2</v>
      </c>
      <c r="E24" s="1">
        <v>1</v>
      </c>
      <c r="F24" s="1" t="s">
        <v>151</v>
      </c>
      <c r="G24" s="1">
        <v>24</v>
      </c>
      <c r="H24" s="1">
        <v>13</v>
      </c>
      <c r="I24" s="1">
        <v>999</v>
      </c>
      <c r="J24" s="1">
        <v>50</v>
      </c>
      <c r="K24" s="8" t="s">
        <v>152</v>
      </c>
      <c r="L24" s="8" t="s">
        <v>88</v>
      </c>
      <c r="M24" s="8" t="s">
        <v>89</v>
      </c>
      <c r="N24" s="8" t="s">
        <v>90</v>
      </c>
      <c r="O24" s="1">
        <v>6</v>
      </c>
      <c r="P24" s="1">
        <v>99</v>
      </c>
      <c r="Q24" s="1" t="s">
        <v>153</v>
      </c>
      <c r="R24" s="1">
        <f t="shared" si="0"/>
        <v>3</v>
      </c>
      <c r="S24" s="1">
        <v>73</v>
      </c>
    </row>
    <row r="25" s="1" customFormat="1" customHeight="1" spans="3:19">
      <c r="C25" s="1">
        <v>1020</v>
      </c>
      <c r="D25" s="1">
        <v>2</v>
      </c>
      <c r="E25" s="1">
        <v>2</v>
      </c>
      <c r="F25" s="1" t="s">
        <v>64</v>
      </c>
      <c r="G25" s="1">
        <v>24</v>
      </c>
      <c r="H25" s="1">
        <v>13</v>
      </c>
      <c r="I25" s="1">
        <v>999</v>
      </c>
      <c r="J25" s="1">
        <v>50</v>
      </c>
      <c r="K25" s="8" t="s">
        <v>154</v>
      </c>
      <c r="L25" s="8" t="s">
        <v>88</v>
      </c>
      <c r="M25" s="8" t="s">
        <v>89</v>
      </c>
      <c r="N25" s="8" t="s">
        <v>90</v>
      </c>
      <c r="O25" s="1">
        <v>6</v>
      </c>
      <c r="P25" s="1">
        <v>99</v>
      </c>
      <c r="Q25" s="1" t="s">
        <v>155</v>
      </c>
      <c r="R25" s="1">
        <f t="shared" si="0"/>
        <v>3</v>
      </c>
      <c r="S25" s="1">
        <v>73</v>
      </c>
    </row>
    <row r="26" s="1" customFormat="1" customHeight="1" spans="3:19">
      <c r="C26" s="1">
        <v>1021</v>
      </c>
      <c r="D26" s="1">
        <v>2</v>
      </c>
      <c r="E26" s="1">
        <v>3</v>
      </c>
      <c r="F26" s="1" t="s">
        <v>156</v>
      </c>
      <c r="G26" s="1">
        <v>24</v>
      </c>
      <c r="H26" s="1">
        <v>13</v>
      </c>
      <c r="I26" s="1">
        <v>999</v>
      </c>
      <c r="J26" s="1">
        <v>50</v>
      </c>
      <c r="K26" s="8" t="s">
        <v>157</v>
      </c>
      <c r="L26" s="8" t="s">
        <v>88</v>
      </c>
      <c r="M26" s="8" t="s">
        <v>89</v>
      </c>
      <c r="N26" s="8" t="s">
        <v>90</v>
      </c>
      <c r="O26" s="1">
        <v>6</v>
      </c>
      <c r="P26" s="1">
        <v>99</v>
      </c>
      <c r="Q26" s="1" t="s">
        <v>158</v>
      </c>
      <c r="R26" s="1">
        <f t="shared" si="0"/>
        <v>3</v>
      </c>
      <c r="S26" s="1">
        <v>73</v>
      </c>
    </row>
    <row r="27" s="1" customFormat="1" customHeight="1" spans="3:19">
      <c r="E27" s="3"/>
    </row>
    <row r="28" s="1" customFormat="1" customHeight="1" spans="3:19">
      <c r="E28" s="3"/>
    </row>
    <row r="29" s="1" customFormat="1" customHeight="1" spans="3:19">
      <c r="E29" s="4"/>
    </row>
    <row r="30" s="1" customFormat="1" customHeight="1" spans="3:19">
      <c r="E30" s="3"/>
    </row>
    <row r="31" s="1" customFormat="1" customHeight="1" spans="3:19">
      <c r="E31" s="5"/>
    </row>
    <row r="32" s="1" customFormat="1" customHeight="1" spans="3:19">
      <c r="E32" s="3"/>
    </row>
    <row r="33" s="1" customFormat="1" customHeight="1" spans="5:5">
      <c r="E33" s="3"/>
    </row>
    <row r="34" s="1" customFormat="1" customHeight="1" spans="5:5">
      <c r="E34" s="3"/>
    </row>
    <row r="35" s="1" customFormat="1" customHeight="1" spans="5:5">
      <c r="E35" s="3"/>
    </row>
    <row r="36" s="1" customFormat="1" customHeight="1" spans="5:5">
      <c r="E36" s="3"/>
    </row>
    <row r="37" s="1" customFormat="1" customHeight="1" spans="5:5">
      <c r="E37" s="5"/>
    </row>
    <row r="38" s="1" customFormat="1" customHeight="1" spans="5:5">
      <c r="E38" s="3"/>
    </row>
    <row r="39" s="1" customFormat="1" customHeight="1" spans="5:5">
      <c r="E39" s="3"/>
    </row>
    <row r="40" s="1" customFormat="1" customHeight="1" spans="5:5">
      <c r="E40" s="3"/>
    </row>
    <row r="41" s="1" customFormat="1" customHeight="1" spans="5:5">
      <c r="E41" s="6"/>
    </row>
    <row r="42" s="1" customFormat="1" customHeight="1" spans="5:5">
      <c r="E42" s="3"/>
    </row>
    <row r="43" s="1" customFormat="1" customHeight="1" spans="5:5">
      <c r="E43" s="5"/>
    </row>
    <row r="44" s="1" customFormat="1" customHeight="1" spans="5:5">
      <c r="E44" s="3"/>
    </row>
    <row r="45" s="1" customFormat="1" customHeight="1" spans="5:5">
      <c r="E45" s="4"/>
    </row>
    <row r="46" s="1" customFormat="1" customHeight="1" spans="5:5">
      <c r="E46" s="3"/>
    </row>
    <row r="47" s="1" customFormat="1" customHeight="1" spans="5:5">
      <c r="E47" s="3"/>
    </row>
    <row r="48" s="1" customFormat="1" customHeight="1" spans="5:5">
      <c r="E48" s="3"/>
    </row>
    <row r="49" s="1" customFormat="1" customHeight="1" spans="5:5">
      <c r="E49" s="5"/>
    </row>
    <row r="50" s="1" customFormat="1" customHeight="1" spans="5:5">
      <c r="E50" s="3"/>
    </row>
    <row r="51" s="1" customFormat="1" customHeight="1" spans="5:5">
      <c r="E51" s="3"/>
    </row>
    <row r="52" s="1" customFormat="1" customHeight="1" spans="5:5">
      <c r="E52" s="3"/>
    </row>
    <row r="53" s="1" customFormat="1" customHeight="1" spans="5:5">
      <c r="E53" s="3"/>
    </row>
    <row r="54" s="1" customFormat="1" customHeight="1" spans="5:5">
      <c r="E54" s="6"/>
    </row>
    <row r="55" s="1" customFormat="1" customHeight="1" spans="5:5">
      <c r="E55" s="5"/>
    </row>
  </sheetData>
  <dataValidations count="1">
    <dataValidation type="custom" allowBlank="1" showErrorMessage="1" errorTitle="拒绝重复输入" error="当前输入的内容，与本区域的其他单元格内容重复。" sqref="O3:O5 Q3:Q5 C3:I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固定特性</vt:lpstr>
      <vt:lpstr>随机特性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2026-09-29T16:57:12Z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3CBA8FBEB68E4098BC75476C76D1A3CD</vt:lpwstr>
  </property>
  <property fmtid="{D5CDD505-2E9C-101B-9397-08002B2CF9AE}" pid="4" name="CalculationRule">
    <vt:i4>0</vt:i4>
  </property>
</Properties>
</file>